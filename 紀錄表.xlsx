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empadmin\Desktop\sea\"/>
    </mc:Choice>
  </mc:AlternateContent>
  <xr:revisionPtr revIDLastSave="0" documentId="13_ncr:1_{A140609C-8089-44FE-B3CE-E2A8FD8333E9}" xr6:coauthVersionLast="47" xr6:coauthVersionMax="47" xr10:uidLastSave="{00000000-0000-0000-0000-000000000000}"/>
  <bookViews>
    <workbookView xWindow="-98" yWindow="-98" windowWidth="21795" windowHeight="12975" tabRatio="788" activeTab="2" xr2:uid="{00000000-000D-0000-FFFF-FFFF00000000}"/>
  </bookViews>
  <sheets>
    <sheet name="base line result" sheetId="1" r:id="rId1"/>
    <sheet name="submission" sheetId="2" r:id="rId2"/>
    <sheet name="工作表3" sheetId="13" r:id="rId3"/>
    <sheet name="model_cmp" sheetId="10" r:id="rId4"/>
    <sheet name="工作表1" sheetId="11" r:id="rId5"/>
    <sheet name="label_distribution" sheetId="5" r:id="rId6"/>
    <sheet name="step" sheetId="6" r:id="rId7"/>
    <sheet name="all_cate_cmp" sheetId="9" r:id="rId8"/>
    <sheet name="yolov9_run" sheetId="3" r:id="rId9"/>
    <sheet name="工作表2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9" l="1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2" i="9"/>
</calcChain>
</file>

<file path=xl/sharedStrings.xml><?xml version="1.0" encoding="utf-8"?>
<sst xmlns="http://schemas.openxmlformats.org/spreadsheetml/2006/main" count="246" uniqueCount="104">
  <si>
    <t>submission_5.csv</t>
    <phoneticPr fontId="1" type="noConversion"/>
  </si>
  <si>
    <t>filename</t>
    <phoneticPr fontId="1" type="noConversion"/>
  </si>
  <si>
    <t>prepare_data.py</t>
    <phoneticPr fontId="1" type="noConversion"/>
  </si>
  <si>
    <t>train_dual.py</t>
    <phoneticPr fontId="1" type="noConversion"/>
  </si>
  <si>
    <t>detect_dual.py</t>
    <phoneticPr fontId="1" type="noConversion"/>
  </si>
  <si>
    <t>make_submission.py</t>
    <phoneticPr fontId="1" type="noConversion"/>
  </si>
  <si>
    <t>LB</t>
    <phoneticPr fontId="1" type="noConversion"/>
  </si>
  <si>
    <t>local</t>
    <phoneticPr fontId="1" type="noConversion"/>
  </si>
  <si>
    <t>label -&gt; label_id</t>
    <phoneticPr fontId="1" type="noConversion"/>
  </si>
  <si>
    <t>python detect_dual.py --weights runs/train/exp_80_b64/weights/best.pt --source "../prelim test set" --img 640 --conf 0.25 --device 0 --save-txt --save-conf</t>
    <phoneticPr fontId="1" type="noConversion"/>
  </si>
  <si>
    <t>Class_ID</t>
  </si>
  <si>
    <t>Class_Name</t>
  </si>
  <si>
    <t>Count</t>
  </si>
  <si>
    <t>Ratio_Percent</t>
  </si>
  <si>
    <t>plastic_bottle</t>
  </si>
  <si>
    <t>plastic_bottle_cap</t>
  </si>
  <si>
    <t>non_pet_food_beverage_container</t>
  </si>
  <si>
    <t>non_food_plastic_bottle</t>
  </si>
  <si>
    <t>takeaway_beverage_cup</t>
  </si>
  <si>
    <t>straw</t>
  </si>
  <si>
    <t>disposable_tableware</t>
  </si>
  <si>
    <t>plastic_bag</t>
  </si>
  <si>
    <t>food_wrapper</t>
  </si>
  <si>
    <t>metal_can</t>
  </si>
  <si>
    <t>cigarette_butt</t>
  </si>
  <si>
    <t>lighter</t>
  </si>
  <si>
    <t>drink_carton</t>
  </si>
  <si>
    <t>glass_bottle</t>
  </si>
  <si>
    <t>fishing_net_rope</t>
  </si>
  <si>
    <t>fishing_buoy_float</t>
  </si>
  <si>
    <t>fishing_gear</t>
  </si>
  <si>
    <t>syringe_needle</t>
  </si>
  <si>
    <t>toothbrush</t>
  </si>
  <si>
    <t>other</t>
  </si>
  <si>
    <t>plastic_lid</t>
  </si>
  <si>
    <t>cup</t>
  </si>
  <si>
    <t>foam_buoy_float</t>
  </si>
  <si>
    <t>cigarette_pack</t>
  </si>
  <si>
    <t>textile</t>
  </si>
  <si>
    <t>net_like_item</t>
  </si>
  <si>
    <t>anthropogenic_fragment</t>
  </si>
  <si>
    <t>disposable_food_container</t>
  </si>
  <si>
    <t>soft_float</t>
  </si>
  <si>
    <t>foam_container</t>
  </si>
  <si>
    <t>non_pet_food_container</t>
  </si>
  <si>
    <t>non_food_plastic_container</t>
  </si>
  <si>
    <t>aluminum_packaging</t>
  </si>
  <si>
    <t>fish_trap_and_bait</t>
  </si>
  <si>
    <t>1. count label distributions</t>
    <phoneticPr fontId="1" type="noConversion"/>
  </si>
  <si>
    <t>method</t>
    <phoneticPr fontId="1" type="noConversion"/>
  </si>
  <si>
    <t>use code</t>
    <phoneticPr fontId="1" type="noConversion"/>
  </si>
  <si>
    <t>count_json.py</t>
    <phoneticPr fontId="1" type="noConversion"/>
  </si>
  <si>
    <t>Before</t>
    <phoneticPr fontId="1" type="noConversion"/>
  </si>
  <si>
    <t>After</t>
    <phoneticPr fontId="1" type="noConversion"/>
  </si>
  <si>
    <t>2. generate_off.py</t>
    <phoneticPr fontId="1" type="noConversion"/>
  </si>
  <si>
    <t>3. update_data.py</t>
    <phoneticPr fontId="1" type="noConversion"/>
  </si>
  <si>
    <t>explain</t>
    <phoneticPr fontId="1" type="noConversion"/>
  </si>
  <si>
    <t>train_dataset -&gt; train_dataset_2</t>
    <phoneticPr fontId="1" type="noConversion"/>
  </si>
  <si>
    <t>fill to 500張</t>
    <phoneticPr fontId="1" type="noConversion"/>
  </si>
  <si>
    <t>4. notuse.py</t>
    <phoneticPr fontId="1" type="noConversion"/>
  </si>
  <si>
    <t>都是生成的失敗產物不用在意3000張 not 標註 in image 作為背景圖片</t>
    <phoneticPr fontId="1" type="noConversion"/>
  </si>
  <si>
    <t>5. convert.py</t>
    <phoneticPr fontId="1" type="noConversion"/>
  </si>
  <si>
    <t>cut data according 類別 8 : 2move the data</t>
    <phoneticPr fontId="1" type="noConversion"/>
  </si>
  <si>
    <t>6. train.py</t>
    <phoneticPr fontId="1" type="noConversion"/>
  </si>
  <si>
    <t>按類別切</t>
    <phoneticPr fontId="1" type="noConversion"/>
  </si>
  <si>
    <t>統計各類別失敗比例</t>
    <phoneticPr fontId="1" type="noConversion"/>
  </si>
  <si>
    <t>建立 dataset/data_full.yaml</t>
    <phoneticPr fontId="1" type="noConversion"/>
  </si>
  <si>
    <t>final_tune.py</t>
    <phoneticPr fontId="1" type="noConversion"/>
  </si>
  <si>
    <t>non_PET_food_beverage_container</t>
  </si>
  <si>
    <t>non_PET_food_container</t>
  </si>
  <si>
    <t>Recall (成功抓取率)</t>
  </si>
  <si>
    <t>Precision (命中精準度)</t>
  </si>
  <si>
    <t>mAP50</t>
  </si>
  <si>
    <t>mAP50-95</t>
  </si>
  <si>
    <t>DF_DETR_1.csv</t>
  </si>
  <si>
    <t xml:space="preserve">	0.6088409</t>
    <phoneticPr fontId="1" type="noConversion"/>
  </si>
  <si>
    <t>DF_DETR_final_tune.csv</t>
  </si>
  <si>
    <t>RT-DETR-L</t>
  </si>
  <si>
    <t>img=640</t>
    <phoneticPr fontId="1" type="noConversion"/>
  </si>
  <si>
    <t>RT-DETR-X</t>
    <phoneticPr fontId="1" type="noConversion"/>
  </si>
  <si>
    <t>imgz=640</t>
    <phoneticPr fontId="1" type="noConversion"/>
  </si>
  <si>
    <t>cof=0.25</t>
    <phoneticPr fontId="1" type="noConversion"/>
  </si>
  <si>
    <t>RTDETRv2-x</t>
  </si>
  <si>
    <t>D-FINE</t>
    <phoneticPr fontId="1" type="noConversion"/>
  </si>
  <si>
    <t>照片有用?</t>
    <phoneticPr fontId="1" type="noConversion"/>
  </si>
  <si>
    <t>cof多少</t>
    <phoneticPr fontId="1" type="noConversion"/>
  </si>
  <si>
    <t>rtdetr-x</t>
    <phoneticPr fontId="1" type="noConversion"/>
  </si>
  <si>
    <t>rtdetr-l</t>
    <phoneticPr fontId="1" type="noConversion"/>
  </si>
  <si>
    <t>yolov9-s</t>
    <phoneticPr fontId="1" type="noConversion"/>
  </si>
  <si>
    <t>0.01 or 0.001</t>
    <phoneticPr fontId="1" type="noConversion"/>
  </si>
  <si>
    <t>YOLOv11x</t>
    <phoneticPr fontId="1" type="noConversion"/>
  </si>
  <si>
    <t>YOLOv12x</t>
    <phoneticPr fontId="1" type="noConversion"/>
  </si>
  <si>
    <t>yolov11 cof 0.01</t>
    <phoneticPr fontId="1" type="noConversion"/>
  </si>
  <si>
    <t>yolov11 cof 0.25</t>
    <phoneticPr fontId="1" type="noConversion"/>
  </si>
  <si>
    <t>best_cof</t>
    <phoneticPr fontId="1" type="noConversion"/>
  </si>
  <si>
    <t>check_pixel</t>
    <phoneticPr fontId="1" type="noConversion"/>
  </si>
  <si>
    <t>Co-DETR</t>
    <phoneticPr fontId="1" type="noConversion"/>
  </si>
  <si>
    <t>DINO-X</t>
    <phoneticPr fontId="1" type="noConversion"/>
  </si>
  <si>
    <t>0.5(stage1)
0.48(stage2)</t>
    <phoneticPr fontId="1" type="noConversion"/>
  </si>
  <si>
    <t>yolov11m.pt</t>
    <phoneticPr fontId="1" type="noConversion"/>
  </si>
  <si>
    <t>strategy</t>
    <phoneticPr fontId="1" type="noConversion"/>
  </si>
  <si>
    <t>切分按照類別</t>
    <phoneticPr fontId="1" type="noConversion"/>
  </si>
  <si>
    <t>yolom</t>
    <phoneticPr fontId="1" type="noConversion"/>
  </si>
  <si>
    <t>yolom + detr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</si>
</sst>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5" tint="0.39997558519241921"/>
      <name val="新細明體"/>
      <family val="2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424514</xdr:colOff>
      <xdr:row>4</xdr:row>
      <xdr:rowOff>105771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F0D84F0-B7A5-D200-73B9-7251A4AB6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40040" cy="8677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123920</xdr:colOff>
      <xdr:row>36</xdr:row>
      <xdr:rowOff>152451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0908FE0-543C-9ADB-B802-5A744CA69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925520" cy="70104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7"/>
  <sheetViews>
    <sheetView zoomScale="190" zoomScaleNormal="190" workbookViewId="0">
      <selection activeCell="E7" sqref="E7"/>
    </sheetView>
  </sheetViews>
  <sheetFormatPr defaultRowHeight="15" x14ac:dyDescent="0.45"/>
  <cols>
    <col min="1" max="1" width="15.640625" bestFit="1" customWidth="1"/>
  </cols>
  <sheetData>
    <row r="7" spans="1:2" x14ac:dyDescent="0.45">
      <c r="A7" t="s">
        <v>0</v>
      </c>
      <c r="B7">
        <v>0.46965750000000001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D13A-9F5F-495D-9EED-1C3935228704}">
  <dimension ref="A1:E9"/>
  <sheetViews>
    <sheetView zoomScale="190" zoomScaleNormal="190" workbookViewId="0">
      <selection activeCell="C9" sqref="C9"/>
    </sheetView>
  </sheetViews>
  <sheetFormatPr defaultRowHeight="15" x14ac:dyDescent="0.45"/>
  <cols>
    <col min="1" max="1" width="22.78515625" bestFit="1" customWidth="1"/>
    <col min="2" max="2" width="10.140625" bestFit="1" customWidth="1"/>
    <col min="4" max="4" width="11.35546875" bestFit="1" customWidth="1"/>
  </cols>
  <sheetData>
    <row r="1" spans="1:5" x14ac:dyDescent="0.45">
      <c r="A1" t="s">
        <v>1</v>
      </c>
      <c r="B1" t="s">
        <v>6</v>
      </c>
      <c r="C1" t="s">
        <v>7</v>
      </c>
    </row>
    <row r="2" spans="1:5" x14ac:dyDescent="0.45">
      <c r="A2" t="s">
        <v>0</v>
      </c>
      <c r="B2">
        <v>0.46965750000000001</v>
      </c>
      <c r="C2">
        <v>0.47072999999999998</v>
      </c>
    </row>
    <row r="3" spans="1:5" x14ac:dyDescent="0.45">
      <c r="B3">
        <v>0.46969610000000001</v>
      </c>
    </row>
    <row r="4" spans="1:5" x14ac:dyDescent="0.45">
      <c r="A4" t="s">
        <v>74</v>
      </c>
      <c r="B4">
        <v>0.59777049999999998</v>
      </c>
      <c r="C4">
        <v>0.59780999999999995</v>
      </c>
    </row>
    <row r="5" spans="1:5" x14ac:dyDescent="0.45">
      <c r="A5" t="s">
        <v>76</v>
      </c>
      <c r="B5" s="2" t="s">
        <v>75</v>
      </c>
      <c r="D5" t="s">
        <v>77</v>
      </c>
      <c r="E5" t="s">
        <v>78</v>
      </c>
    </row>
    <row r="6" spans="1:5" x14ac:dyDescent="0.45">
      <c r="A6" t="s">
        <v>92</v>
      </c>
      <c r="B6">
        <v>0.56999999999999995</v>
      </c>
    </row>
    <row r="7" spans="1:5" x14ac:dyDescent="0.45">
      <c r="A7" t="s">
        <v>93</v>
      </c>
      <c r="B7">
        <v>0.53</v>
      </c>
    </row>
    <row r="8" spans="1:5" x14ac:dyDescent="0.45">
      <c r="A8" t="s">
        <v>102</v>
      </c>
      <c r="B8">
        <v>0.55200000000000005</v>
      </c>
    </row>
    <row r="9" spans="1:5" x14ac:dyDescent="0.45">
      <c r="A9" t="s">
        <v>103</v>
      </c>
      <c r="B9">
        <v>0.58899999999999997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3A5B-0C15-4FB8-8BAB-717811CB3CB4}">
  <dimension ref="A1"/>
  <sheetViews>
    <sheetView tabSelected="1" workbookViewId="0"/>
  </sheetViews>
  <sheetFormatPr defaultRowHeight="15" x14ac:dyDescent="0.45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B6D5A-D456-46DE-9C28-B6BE626EE623}">
  <dimension ref="A1:I10"/>
  <sheetViews>
    <sheetView zoomScale="235" zoomScaleNormal="235" workbookViewId="0">
      <selection activeCell="C3" sqref="C3"/>
    </sheetView>
  </sheetViews>
  <sheetFormatPr defaultRowHeight="15" x14ac:dyDescent="0.45"/>
  <cols>
    <col min="2" max="3" width="11.35546875" bestFit="1" customWidth="1"/>
    <col min="4" max="4" width="12.5703125" bestFit="1" customWidth="1"/>
    <col min="5" max="5" width="10.92578125" customWidth="1"/>
    <col min="6" max="6" width="11.85546875" customWidth="1"/>
    <col min="8" max="8" width="18.42578125" bestFit="1" customWidth="1"/>
  </cols>
  <sheetData>
    <row r="1" spans="1:9" x14ac:dyDescent="0.45">
      <c r="A1" t="s">
        <v>81</v>
      </c>
    </row>
    <row r="2" spans="1:9" x14ac:dyDescent="0.45">
      <c r="B2" t="s">
        <v>77</v>
      </c>
      <c r="C2" t="s">
        <v>79</v>
      </c>
      <c r="D2" t="s">
        <v>82</v>
      </c>
      <c r="E2" t="s">
        <v>90</v>
      </c>
      <c r="F2" t="s">
        <v>91</v>
      </c>
      <c r="G2" t="s">
        <v>83</v>
      </c>
      <c r="H2" t="s">
        <v>96</v>
      </c>
      <c r="I2" t="s">
        <v>97</v>
      </c>
    </row>
    <row r="3" spans="1:9" x14ac:dyDescent="0.45">
      <c r="A3" t="s">
        <v>80</v>
      </c>
      <c r="B3">
        <v>0.59777049999999998</v>
      </c>
    </row>
    <row r="4" spans="1:9" ht="30" x14ac:dyDescent="0.45">
      <c r="A4">
        <v>1024</v>
      </c>
      <c r="E4" s="2" t="s">
        <v>98</v>
      </c>
    </row>
    <row r="7" spans="1:9" x14ac:dyDescent="0.45">
      <c r="A7" t="s">
        <v>84</v>
      </c>
    </row>
    <row r="8" spans="1:9" x14ac:dyDescent="0.45">
      <c r="A8" t="s">
        <v>85</v>
      </c>
      <c r="B8">
        <v>0.25</v>
      </c>
      <c r="C8">
        <v>0.2</v>
      </c>
      <c r="D8">
        <v>0.15</v>
      </c>
      <c r="E8" t="s">
        <v>89</v>
      </c>
    </row>
    <row r="9" spans="1:9" x14ac:dyDescent="0.45">
      <c r="A9" t="s">
        <v>94</v>
      </c>
      <c r="B9">
        <v>1E-3</v>
      </c>
    </row>
    <row r="10" spans="1:9" x14ac:dyDescent="0.45">
      <c r="A10" t="s">
        <v>95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A86E-7663-4945-B3EE-30097FA177D6}">
  <dimension ref="B1:B2"/>
  <sheetViews>
    <sheetView zoomScale="280" zoomScaleNormal="280" workbookViewId="0">
      <selection activeCell="D7" sqref="D7"/>
    </sheetView>
  </sheetViews>
  <sheetFormatPr defaultRowHeight="15" x14ac:dyDescent="0.45"/>
  <sheetData>
    <row r="1" spans="2:2" x14ac:dyDescent="0.45">
      <c r="B1" t="s">
        <v>99</v>
      </c>
    </row>
    <row r="2" spans="2:2" x14ac:dyDescent="0.45">
      <c r="B2">
        <v>0.49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8077-D159-4D24-B3BB-FB1114C8F891}">
  <dimension ref="A1:J37"/>
  <sheetViews>
    <sheetView zoomScale="175" zoomScaleNormal="175" workbookViewId="0">
      <selection activeCell="A32" sqref="A32"/>
    </sheetView>
  </sheetViews>
  <sheetFormatPr defaultRowHeight="15" x14ac:dyDescent="0.45"/>
  <sheetData>
    <row r="1" spans="1:10" x14ac:dyDescent="0.45">
      <c r="A1" t="s">
        <v>88</v>
      </c>
      <c r="B1">
        <v>0.47072999999999998</v>
      </c>
    </row>
    <row r="2" spans="1:10" x14ac:dyDescent="0.45">
      <c r="A2" t="s">
        <v>52</v>
      </c>
      <c r="F2" t="s">
        <v>53</v>
      </c>
    </row>
    <row r="3" spans="1:10" x14ac:dyDescent="0.45">
      <c r="A3" t="s">
        <v>10</v>
      </c>
      <c r="B3" t="s">
        <v>11</v>
      </c>
      <c r="C3" t="s">
        <v>12</v>
      </c>
      <c r="D3" t="s">
        <v>13</v>
      </c>
      <c r="F3" t="s">
        <v>10</v>
      </c>
      <c r="G3" t="s">
        <v>11</v>
      </c>
      <c r="H3" t="s">
        <v>12</v>
      </c>
      <c r="I3" t="s">
        <v>13</v>
      </c>
      <c r="J3" s="1"/>
    </row>
    <row r="4" spans="1:10" x14ac:dyDescent="0.45">
      <c r="A4">
        <v>32</v>
      </c>
      <c r="B4" t="s">
        <v>46</v>
      </c>
      <c r="C4">
        <v>13</v>
      </c>
      <c r="D4" s="1">
        <v>4.0000000000000002E-4</v>
      </c>
      <c r="F4">
        <v>32</v>
      </c>
      <c r="G4" t="s">
        <v>46</v>
      </c>
      <c r="H4">
        <v>505</v>
      </c>
      <c r="I4" s="1">
        <v>1.0800000000000001E-2</v>
      </c>
      <c r="J4" s="1"/>
    </row>
    <row r="5" spans="1:10" x14ac:dyDescent="0.45">
      <c r="A5">
        <v>31</v>
      </c>
      <c r="B5" t="s">
        <v>45</v>
      </c>
      <c r="C5">
        <v>62</v>
      </c>
      <c r="D5" s="1">
        <v>1.9E-3</v>
      </c>
      <c r="F5">
        <v>31</v>
      </c>
      <c r="G5" t="s">
        <v>45</v>
      </c>
      <c r="H5">
        <v>518</v>
      </c>
      <c r="I5" s="1">
        <v>1.11E-2</v>
      </c>
      <c r="J5" s="1"/>
    </row>
    <row r="6" spans="1:10" x14ac:dyDescent="0.45">
      <c r="A6">
        <v>17</v>
      </c>
      <c r="B6" t="s">
        <v>31</v>
      </c>
      <c r="C6">
        <v>112</v>
      </c>
      <c r="D6" s="1">
        <v>3.5000000000000001E-3</v>
      </c>
      <c r="F6">
        <v>17</v>
      </c>
      <c r="G6" t="s">
        <v>31</v>
      </c>
      <c r="H6">
        <v>536</v>
      </c>
      <c r="I6" s="1">
        <v>1.15E-2</v>
      </c>
      <c r="J6" s="1"/>
    </row>
    <row r="7" spans="1:10" x14ac:dyDescent="0.45">
      <c r="A7">
        <v>23</v>
      </c>
      <c r="B7" t="s">
        <v>37</v>
      </c>
      <c r="C7">
        <v>139</v>
      </c>
      <c r="D7" s="1">
        <v>4.3E-3</v>
      </c>
      <c r="F7">
        <v>23</v>
      </c>
      <c r="G7" t="s">
        <v>37</v>
      </c>
      <c r="H7">
        <v>536</v>
      </c>
      <c r="I7" s="1">
        <v>1.15E-2</v>
      </c>
      <c r="J7" s="1"/>
    </row>
    <row r="8" spans="1:10" x14ac:dyDescent="0.45">
      <c r="A8">
        <v>30</v>
      </c>
      <c r="B8" t="s">
        <v>44</v>
      </c>
      <c r="C8">
        <v>144</v>
      </c>
      <c r="D8" s="1">
        <v>4.4999999999999997E-3</v>
      </c>
      <c r="F8">
        <v>33</v>
      </c>
      <c r="G8" t="s">
        <v>47</v>
      </c>
      <c r="H8">
        <v>541</v>
      </c>
      <c r="I8" s="1">
        <v>1.1599999999999999E-2</v>
      </c>
      <c r="J8" s="1"/>
    </row>
    <row r="9" spans="1:10" x14ac:dyDescent="0.45">
      <c r="A9">
        <v>33</v>
      </c>
      <c r="B9" t="s">
        <v>47</v>
      </c>
      <c r="C9">
        <v>152</v>
      </c>
      <c r="D9" s="1">
        <v>4.7000000000000002E-3</v>
      </c>
      <c r="F9">
        <v>16</v>
      </c>
      <c r="G9" t="s">
        <v>30</v>
      </c>
      <c r="H9">
        <v>544</v>
      </c>
      <c r="I9" s="1">
        <v>1.17E-2</v>
      </c>
      <c r="J9" s="1"/>
    </row>
    <row r="10" spans="1:10" x14ac:dyDescent="0.45">
      <c r="A10">
        <v>16</v>
      </c>
      <c r="B10" t="s">
        <v>30</v>
      </c>
      <c r="C10">
        <v>169</v>
      </c>
      <c r="D10" s="1">
        <v>5.3E-3</v>
      </c>
      <c r="F10">
        <v>18</v>
      </c>
      <c r="G10" t="s">
        <v>32</v>
      </c>
      <c r="H10">
        <v>547</v>
      </c>
      <c r="I10" s="1">
        <v>1.17E-2</v>
      </c>
      <c r="J10" s="1"/>
    </row>
    <row r="11" spans="1:10" x14ac:dyDescent="0.45">
      <c r="A11">
        <v>18</v>
      </c>
      <c r="B11" t="s">
        <v>32</v>
      </c>
      <c r="C11">
        <v>178</v>
      </c>
      <c r="D11" s="1">
        <v>5.4999999999999997E-3</v>
      </c>
      <c r="F11">
        <v>30</v>
      </c>
      <c r="G11" t="s">
        <v>44</v>
      </c>
      <c r="H11">
        <v>550</v>
      </c>
      <c r="I11" s="1">
        <v>1.18E-2</v>
      </c>
      <c r="J11" s="1"/>
    </row>
    <row r="12" spans="1:10" x14ac:dyDescent="0.45">
      <c r="A12">
        <v>20</v>
      </c>
      <c r="B12" t="s">
        <v>34</v>
      </c>
      <c r="C12">
        <v>207</v>
      </c>
      <c r="D12" s="1">
        <v>6.4000000000000003E-3</v>
      </c>
      <c r="F12">
        <v>20</v>
      </c>
      <c r="G12" t="s">
        <v>34</v>
      </c>
      <c r="H12">
        <v>553</v>
      </c>
      <c r="I12" s="1">
        <v>1.1900000000000001E-2</v>
      </c>
      <c r="J12" s="1"/>
    </row>
    <row r="13" spans="1:10" x14ac:dyDescent="0.45">
      <c r="A13">
        <v>25</v>
      </c>
      <c r="B13" t="s">
        <v>39</v>
      </c>
      <c r="C13">
        <v>304</v>
      </c>
      <c r="D13" s="1">
        <v>9.4000000000000004E-3</v>
      </c>
      <c r="F13">
        <v>6</v>
      </c>
      <c r="G13" t="s">
        <v>20</v>
      </c>
      <c r="H13">
        <v>584</v>
      </c>
      <c r="I13" s="1">
        <v>1.2500000000000001E-2</v>
      </c>
      <c r="J13" s="1"/>
    </row>
    <row r="14" spans="1:10" x14ac:dyDescent="0.45">
      <c r="A14">
        <v>6</v>
      </c>
      <c r="B14" t="s">
        <v>20</v>
      </c>
      <c r="C14">
        <v>310</v>
      </c>
      <c r="D14" s="1">
        <v>9.5999999999999992E-3</v>
      </c>
      <c r="F14">
        <v>24</v>
      </c>
      <c r="G14" t="s">
        <v>38</v>
      </c>
      <c r="H14">
        <v>599</v>
      </c>
      <c r="I14" s="1">
        <v>1.2800000000000001E-2</v>
      </c>
      <c r="J14" s="1"/>
    </row>
    <row r="15" spans="1:10" x14ac:dyDescent="0.45">
      <c r="A15">
        <v>29</v>
      </c>
      <c r="B15" t="s">
        <v>43</v>
      </c>
      <c r="C15">
        <v>312</v>
      </c>
      <c r="D15" s="1">
        <v>9.7000000000000003E-3</v>
      </c>
      <c r="F15">
        <v>25</v>
      </c>
      <c r="G15" t="s">
        <v>39</v>
      </c>
      <c r="H15">
        <v>595</v>
      </c>
      <c r="I15" s="1">
        <v>1.2800000000000001E-2</v>
      </c>
      <c r="J15" s="1"/>
    </row>
    <row r="16" spans="1:10" x14ac:dyDescent="0.45">
      <c r="A16">
        <v>24</v>
      </c>
      <c r="B16" t="s">
        <v>38</v>
      </c>
      <c r="C16">
        <v>337</v>
      </c>
      <c r="D16" s="1">
        <v>1.0500000000000001E-2</v>
      </c>
      <c r="F16">
        <v>29</v>
      </c>
      <c r="G16" t="s">
        <v>43</v>
      </c>
      <c r="H16">
        <v>602</v>
      </c>
      <c r="I16" s="1">
        <v>1.29E-2</v>
      </c>
      <c r="J16" s="1"/>
    </row>
    <row r="17" spans="1:10" x14ac:dyDescent="0.45">
      <c r="A17">
        <v>21</v>
      </c>
      <c r="B17" t="s">
        <v>35</v>
      </c>
      <c r="C17">
        <v>374</v>
      </c>
      <c r="D17" s="1">
        <v>1.1599999999999999E-2</v>
      </c>
      <c r="F17">
        <v>21</v>
      </c>
      <c r="G17" t="s">
        <v>35</v>
      </c>
      <c r="H17">
        <v>618</v>
      </c>
      <c r="I17" s="1">
        <v>1.3299999999999999E-2</v>
      </c>
      <c r="J17" s="1"/>
    </row>
    <row r="18" spans="1:10" x14ac:dyDescent="0.45">
      <c r="A18">
        <v>4</v>
      </c>
      <c r="B18" t="s">
        <v>18</v>
      </c>
      <c r="C18">
        <v>388</v>
      </c>
      <c r="D18" s="1">
        <v>1.21E-2</v>
      </c>
      <c r="F18">
        <v>2</v>
      </c>
      <c r="G18" t="s">
        <v>16</v>
      </c>
      <c r="H18">
        <v>625</v>
      </c>
      <c r="I18" s="1">
        <v>1.34E-2</v>
      </c>
      <c r="J18" s="1"/>
    </row>
    <row r="19" spans="1:10" x14ac:dyDescent="0.45">
      <c r="A19">
        <v>2</v>
      </c>
      <c r="B19" t="s">
        <v>16</v>
      </c>
      <c r="C19">
        <v>412</v>
      </c>
      <c r="D19" s="1">
        <v>1.2800000000000001E-2</v>
      </c>
      <c r="F19">
        <v>9</v>
      </c>
      <c r="G19" t="s">
        <v>23</v>
      </c>
      <c r="H19">
        <v>627</v>
      </c>
      <c r="I19" s="1">
        <v>1.35E-2</v>
      </c>
      <c r="J19" s="1"/>
    </row>
    <row r="20" spans="1:10" x14ac:dyDescent="0.45">
      <c r="A20">
        <v>9</v>
      </c>
      <c r="B20" t="s">
        <v>23</v>
      </c>
      <c r="C20">
        <v>431</v>
      </c>
      <c r="D20" s="1">
        <v>1.34E-2</v>
      </c>
      <c r="F20">
        <v>4</v>
      </c>
      <c r="G20" t="s">
        <v>18</v>
      </c>
      <c r="H20">
        <v>642</v>
      </c>
      <c r="I20" s="1">
        <v>1.38E-2</v>
      </c>
      <c r="J20" s="1"/>
    </row>
    <row r="21" spans="1:10" x14ac:dyDescent="0.45">
      <c r="A21">
        <v>11</v>
      </c>
      <c r="B21" t="s">
        <v>25</v>
      </c>
      <c r="C21">
        <v>449</v>
      </c>
      <c r="D21" s="1">
        <v>1.3899999999999999E-2</v>
      </c>
      <c r="F21">
        <v>11</v>
      </c>
      <c r="G21" t="s">
        <v>25</v>
      </c>
      <c r="H21">
        <v>644</v>
      </c>
      <c r="I21" s="1">
        <v>1.38E-2</v>
      </c>
      <c r="J21" s="1"/>
    </row>
    <row r="22" spans="1:10" x14ac:dyDescent="0.45">
      <c r="A22">
        <v>12</v>
      </c>
      <c r="B22" t="s">
        <v>26</v>
      </c>
      <c r="C22">
        <v>466</v>
      </c>
      <c r="D22" s="1">
        <v>1.4500000000000001E-2</v>
      </c>
      <c r="F22">
        <v>12</v>
      </c>
      <c r="G22" t="s">
        <v>26</v>
      </c>
      <c r="H22">
        <v>653</v>
      </c>
      <c r="I22" s="1">
        <v>1.4E-2</v>
      </c>
      <c r="J22" s="1"/>
    </row>
    <row r="23" spans="1:10" x14ac:dyDescent="0.45">
      <c r="A23">
        <v>10</v>
      </c>
      <c r="B23" t="s">
        <v>24</v>
      </c>
      <c r="C23">
        <v>612</v>
      </c>
      <c r="D23" s="1">
        <v>1.9E-2</v>
      </c>
      <c r="F23">
        <v>10</v>
      </c>
      <c r="G23" t="s">
        <v>24</v>
      </c>
      <c r="H23">
        <v>841</v>
      </c>
      <c r="I23" s="1">
        <v>1.7999999999999999E-2</v>
      </c>
      <c r="J23" s="1"/>
    </row>
    <row r="24" spans="1:10" x14ac:dyDescent="0.45">
      <c r="A24">
        <v>5</v>
      </c>
      <c r="B24" t="s">
        <v>19</v>
      </c>
      <c r="C24">
        <v>680</v>
      </c>
      <c r="D24" s="1">
        <v>2.1100000000000001E-2</v>
      </c>
      <c r="F24">
        <v>5</v>
      </c>
      <c r="G24" t="s">
        <v>19</v>
      </c>
      <c r="H24">
        <v>898</v>
      </c>
      <c r="I24" s="1">
        <v>1.9300000000000001E-2</v>
      </c>
      <c r="J24" s="1"/>
    </row>
    <row r="25" spans="1:10" x14ac:dyDescent="0.45">
      <c r="A25">
        <v>27</v>
      </c>
      <c r="B25" t="s">
        <v>41</v>
      </c>
      <c r="C25">
        <v>720</v>
      </c>
      <c r="D25" s="1">
        <v>2.24E-2</v>
      </c>
      <c r="F25">
        <v>27</v>
      </c>
      <c r="G25" t="s">
        <v>41</v>
      </c>
      <c r="H25">
        <v>945</v>
      </c>
      <c r="I25" s="1">
        <v>2.0299999999999999E-2</v>
      </c>
      <c r="J25" s="1"/>
    </row>
    <row r="26" spans="1:10" x14ac:dyDescent="0.45">
      <c r="A26">
        <v>8</v>
      </c>
      <c r="B26" t="s">
        <v>22</v>
      </c>
      <c r="C26">
        <v>798</v>
      </c>
      <c r="D26" s="1">
        <v>2.4799999999999999E-2</v>
      </c>
      <c r="F26">
        <v>8</v>
      </c>
      <c r="G26" t="s">
        <v>22</v>
      </c>
      <c r="H26">
        <v>1053</v>
      </c>
      <c r="I26" s="1">
        <v>2.2599999999999999E-2</v>
      </c>
      <c r="J26" s="1"/>
    </row>
    <row r="27" spans="1:10" x14ac:dyDescent="0.45">
      <c r="A27">
        <v>3</v>
      </c>
      <c r="B27" t="s">
        <v>17</v>
      </c>
      <c r="C27">
        <v>898</v>
      </c>
      <c r="D27" s="1">
        <v>2.7900000000000001E-2</v>
      </c>
      <c r="F27">
        <v>3</v>
      </c>
      <c r="G27" t="s">
        <v>17</v>
      </c>
      <c r="H27">
        <v>1181</v>
      </c>
      <c r="I27" s="1">
        <v>2.53E-2</v>
      </c>
      <c r="J27" s="1"/>
    </row>
    <row r="28" spans="1:10" x14ac:dyDescent="0.45">
      <c r="A28">
        <v>7</v>
      </c>
      <c r="B28" t="s">
        <v>21</v>
      </c>
      <c r="C28">
        <v>911</v>
      </c>
      <c r="D28" s="1">
        <v>2.8299999999999999E-2</v>
      </c>
      <c r="F28">
        <v>7</v>
      </c>
      <c r="G28" t="s">
        <v>21</v>
      </c>
      <c r="H28">
        <v>1198</v>
      </c>
      <c r="I28" s="1">
        <v>2.5700000000000001E-2</v>
      </c>
      <c r="J28" s="1"/>
    </row>
    <row r="29" spans="1:10" x14ac:dyDescent="0.45">
      <c r="A29">
        <v>13</v>
      </c>
      <c r="B29" t="s">
        <v>27</v>
      </c>
      <c r="C29">
        <v>1060</v>
      </c>
      <c r="D29" s="1">
        <v>3.2899999999999999E-2</v>
      </c>
      <c r="F29">
        <v>13</v>
      </c>
      <c r="G29" t="s">
        <v>27</v>
      </c>
      <c r="H29">
        <v>1389</v>
      </c>
      <c r="I29" s="1">
        <v>2.98E-2</v>
      </c>
      <c r="J29" s="1"/>
    </row>
    <row r="30" spans="1:10" x14ac:dyDescent="0.45">
      <c r="A30">
        <v>28</v>
      </c>
      <c r="B30" t="s">
        <v>42</v>
      </c>
      <c r="C30">
        <v>1159</v>
      </c>
      <c r="D30" s="1">
        <v>3.5999999999999997E-2</v>
      </c>
      <c r="F30">
        <v>28</v>
      </c>
      <c r="G30" t="s">
        <v>42</v>
      </c>
      <c r="H30">
        <v>1518</v>
      </c>
      <c r="I30" s="1">
        <v>3.2599999999999997E-2</v>
      </c>
      <c r="J30" s="1"/>
    </row>
    <row r="31" spans="1:10" x14ac:dyDescent="0.45">
      <c r="A31">
        <v>1</v>
      </c>
      <c r="B31" t="s">
        <v>15</v>
      </c>
      <c r="C31">
        <v>1361</v>
      </c>
      <c r="D31" s="1">
        <v>4.2299999999999997E-2</v>
      </c>
      <c r="F31">
        <v>1</v>
      </c>
      <c r="G31" t="s">
        <v>15</v>
      </c>
      <c r="H31">
        <v>1787</v>
      </c>
      <c r="I31" s="1">
        <v>3.8300000000000001E-2</v>
      </c>
      <c r="J31" s="1"/>
    </row>
    <row r="32" spans="1:10" x14ac:dyDescent="0.45">
      <c r="A32">
        <v>19</v>
      </c>
      <c r="B32" t="s">
        <v>33</v>
      </c>
      <c r="C32">
        <v>1590</v>
      </c>
      <c r="D32" s="1">
        <v>4.9399999999999999E-2</v>
      </c>
      <c r="F32">
        <v>19</v>
      </c>
      <c r="G32" t="s">
        <v>33</v>
      </c>
      <c r="H32">
        <v>2066</v>
      </c>
      <c r="I32" s="1">
        <v>4.4299999999999999E-2</v>
      </c>
      <c r="J32" s="1"/>
    </row>
    <row r="33" spans="1:10" x14ac:dyDescent="0.45">
      <c r="A33">
        <v>15</v>
      </c>
      <c r="B33" t="s">
        <v>29</v>
      </c>
      <c r="C33">
        <v>1715</v>
      </c>
      <c r="D33" s="1">
        <v>5.33E-2</v>
      </c>
      <c r="F33">
        <v>14</v>
      </c>
      <c r="G33" t="s">
        <v>28</v>
      </c>
      <c r="H33">
        <v>2212</v>
      </c>
      <c r="I33" s="1">
        <v>4.7500000000000001E-2</v>
      </c>
      <c r="J33" s="1"/>
    </row>
    <row r="34" spans="1:10" x14ac:dyDescent="0.45">
      <c r="A34">
        <v>14</v>
      </c>
      <c r="B34" t="s">
        <v>28</v>
      </c>
      <c r="C34">
        <v>1804</v>
      </c>
      <c r="D34" s="1">
        <v>5.6000000000000001E-2</v>
      </c>
      <c r="F34">
        <v>15</v>
      </c>
      <c r="G34" t="s">
        <v>29</v>
      </c>
      <c r="H34">
        <v>2281</v>
      </c>
      <c r="I34" s="1">
        <v>4.8899999999999999E-2</v>
      </c>
      <c r="J34" s="1"/>
    </row>
    <row r="35" spans="1:10" x14ac:dyDescent="0.45">
      <c r="A35">
        <v>22</v>
      </c>
      <c r="B35" t="s">
        <v>36</v>
      </c>
      <c r="C35">
        <v>2174</v>
      </c>
      <c r="D35" s="1">
        <v>6.7500000000000004E-2</v>
      </c>
      <c r="F35">
        <v>22</v>
      </c>
      <c r="G35" t="s">
        <v>36</v>
      </c>
      <c r="H35">
        <v>2909</v>
      </c>
      <c r="I35" s="1">
        <v>6.2399999999999997E-2</v>
      </c>
      <c r="J35" s="1"/>
    </row>
    <row r="36" spans="1:10" x14ac:dyDescent="0.45">
      <c r="A36">
        <v>0</v>
      </c>
      <c r="B36" t="s">
        <v>14</v>
      </c>
      <c r="C36">
        <v>5641</v>
      </c>
      <c r="D36" s="1">
        <v>0.17519999999999999</v>
      </c>
      <c r="F36">
        <v>0</v>
      </c>
      <c r="G36" t="s">
        <v>14</v>
      </c>
      <c r="H36">
        <v>7390</v>
      </c>
      <c r="I36" s="1">
        <v>0.1585</v>
      </c>
      <c r="J36" s="1"/>
    </row>
    <row r="37" spans="1:10" x14ac:dyDescent="0.45">
      <c r="A37">
        <v>26</v>
      </c>
      <c r="B37" t="s">
        <v>40</v>
      </c>
      <c r="C37">
        <v>6107</v>
      </c>
      <c r="D37" s="1">
        <v>0.18970000000000001</v>
      </c>
      <c r="F37">
        <v>26</v>
      </c>
      <c r="G37" t="s">
        <v>40</v>
      </c>
      <c r="H37">
        <v>7929</v>
      </c>
      <c r="I37" s="1">
        <v>0.1701</v>
      </c>
    </row>
  </sheetData>
  <sortState xmlns:xlrd2="http://schemas.microsoft.com/office/spreadsheetml/2017/richdata2" ref="A4:D37">
    <sortCondition ref="D3:D37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E521-5257-421F-BB35-E9BA70C98AFD}">
  <dimension ref="A1:C9"/>
  <sheetViews>
    <sheetView zoomScale="265" zoomScaleNormal="265" workbookViewId="0">
      <selection activeCell="C9" sqref="C9"/>
    </sheetView>
  </sheetViews>
  <sheetFormatPr defaultRowHeight="15" x14ac:dyDescent="0.45"/>
  <cols>
    <col min="1" max="1" width="23.5" bestFit="1" customWidth="1"/>
    <col min="2" max="2" width="12.5703125" bestFit="1" customWidth="1"/>
  </cols>
  <sheetData>
    <row r="1" spans="1:3" x14ac:dyDescent="0.45">
      <c r="A1" t="s">
        <v>49</v>
      </c>
      <c r="B1" t="s">
        <v>50</v>
      </c>
      <c r="C1" t="s">
        <v>56</v>
      </c>
    </row>
    <row r="2" spans="1:3" x14ac:dyDescent="0.45">
      <c r="A2" t="s">
        <v>48</v>
      </c>
      <c r="B2" t="s">
        <v>51</v>
      </c>
    </row>
    <row r="3" spans="1:3" x14ac:dyDescent="0.45">
      <c r="A3" t="s">
        <v>54</v>
      </c>
      <c r="C3" t="s">
        <v>58</v>
      </c>
    </row>
    <row r="4" spans="1:3" x14ac:dyDescent="0.45">
      <c r="A4" t="s">
        <v>55</v>
      </c>
      <c r="C4" t="s">
        <v>57</v>
      </c>
    </row>
    <row r="5" spans="1:3" s="3" customFormat="1" x14ac:dyDescent="0.45">
      <c r="A5" s="3" t="s">
        <v>59</v>
      </c>
      <c r="C5" s="3" t="s">
        <v>60</v>
      </c>
    </row>
    <row r="6" spans="1:3" x14ac:dyDescent="0.45">
      <c r="A6" t="s">
        <v>61</v>
      </c>
      <c r="B6" s="4" t="s">
        <v>64</v>
      </c>
      <c r="C6" t="s">
        <v>62</v>
      </c>
    </row>
    <row r="7" spans="1:3" x14ac:dyDescent="0.45">
      <c r="A7" t="s">
        <v>63</v>
      </c>
      <c r="B7" t="s">
        <v>65</v>
      </c>
    </row>
    <row r="8" spans="1:3" x14ac:dyDescent="0.45">
      <c r="B8" t="s">
        <v>66</v>
      </c>
    </row>
    <row r="9" spans="1:3" x14ac:dyDescent="0.45">
      <c r="B9" t="s">
        <v>67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0E2F3-78F4-452D-916C-CE47B5AE49D6}">
  <dimension ref="A1:U35"/>
  <sheetViews>
    <sheetView topLeftCell="D4" zoomScale="115" zoomScaleNormal="115" workbookViewId="0">
      <selection activeCell="W2" sqref="W2"/>
    </sheetView>
  </sheetViews>
  <sheetFormatPr defaultRowHeight="15" x14ac:dyDescent="0.45"/>
  <cols>
    <col min="2" max="2" width="31" bestFit="1" customWidth="1"/>
    <col min="3" max="3" width="19" bestFit="1" customWidth="1"/>
    <col min="4" max="4" width="21.5" bestFit="1" customWidth="1"/>
    <col min="5" max="5" width="7.28515625" bestFit="1" customWidth="1"/>
    <col min="6" max="6" width="9.78515625" bestFit="1" customWidth="1"/>
  </cols>
  <sheetData>
    <row r="1" spans="1:21" x14ac:dyDescent="0.45">
      <c r="A1" t="s">
        <v>10</v>
      </c>
      <c r="B1" t="s">
        <v>11</v>
      </c>
      <c r="C1" t="s">
        <v>70</v>
      </c>
      <c r="D1" t="s">
        <v>71</v>
      </c>
      <c r="E1" t="s">
        <v>72</v>
      </c>
      <c r="F1" t="s">
        <v>73</v>
      </c>
      <c r="H1" t="s">
        <v>87</v>
      </c>
      <c r="J1" s="1"/>
      <c r="K1" s="1"/>
      <c r="L1" s="1"/>
      <c r="M1" s="1"/>
      <c r="O1" t="s">
        <v>86</v>
      </c>
      <c r="Q1" s="1"/>
      <c r="R1" s="1"/>
      <c r="S1" s="1"/>
      <c r="T1" s="1"/>
    </row>
    <row r="2" spans="1:21" x14ac:dyDescent="0.45">
      <c r="A2">
        <v>26</v>
      </c>
      <c r="B2" t="s">
        <v>40</v>
      </c>
      <c r="C2" s="1">
        <v>0.41439999999999999</v>
      </c>
      <c r="D2" s="1">
        <v>0.70809999999999995</v>
      </c>
      <c r="E2" s="1">
        <v>0.53010000000000002</v>
      </c>
      <c r="F2" s="1">
        <v>0.3357</v>
      </c>
      <c r="H2">
        <v>0</v>
      </c>
      <c r="I2" t="s">
        <v>14</v>
      </c>
      <c r="J2" s="1">
        <v>0.8629</v>
      </c>
      <c r="K2" s="1">
        <v>0.87539999999999996</v>
      </c>
      <c r="L2" s="1">
        <v>0.90880000000000005</v>
      </c>
      <c r="M2" s="1">
        <v>0.6492</v>
      </c>
      <c r="O2">
        <v>0</v>
      </c>
      <c r="P2" t="s">
        <v>14</v>
      </c>
      <c r="Q2" s="1">
        <v>0.86839999999999995</v>
      </c>
      <c r="R2" s="1">
        <v>0.87970000000000004</v>
      </c>
      <c r="S2" s="1">
        <v>0.91200000000000003</v>
      </c>
      <c r="T2" s="1">
        <v>0.67569999999999997</v>
      </c>
      <c r="U2" s="1">
        <f>T2-M2</f>
        <v>2.6499999999999968E-2</v>
      </c>
    </row>
    <row r="3" spans="1:21" x14ac:dyDescent="0.45">
      <c r="A3">
        <v>19</v>
      </c>
      <c r="B3" t="s">
        <v>33</v>
      </c>
      <c r="C3" s="1">
        <v>0.50619999999999998</v>
      </c>
      <c r="D3" s="1">
        <v>0.71930000000000005</v>
      </c>
      <c r="E3" s="1">
        <v>0.54849999999999999</v>
      </c>
      <c r="F3" s="1">
        <v>0.38429999999999997</v>
      </c>
      <c r="H3">
        <v>1</v>
      </c>
      <c r="I3" t="s">
        <v>15</v>
      </c>
      <c r="J3" s="1">
        <v>0.80889999999999995</v>
      </c>
      <c r="K3" s="1">
        <v>0.89890000000000003</v>
      </c>
      <c r="L3" s="1">
        <v>0.86960000000000004</v>
      </c>
      <c r="M3" s="1">
        <v>0.60440000000000005</v>
      </c>
      <c r="O3">
        <v>1</v>
      </c>
      <c r="P3" t="s">
        <v>15</v>
      </c>
      <c r="Q3" s="1">
        <v>0.81159999999999999</v>
      </c>
      <c r="R3" s="1">
        <v>0.89570000000000005</v>
      </c>
      <c r="S3" s="1">
        <v>0.86439999999999995</v>
      </c>
      <c r="T3" s="1">
        <v>0.62519999999999998</v>
      </c>
      <c r="U3" s="1">
        <f t="shared" ref="U3:U35" si="0">T3-M3</f>
        <v>2.079999999999993E-2</v>
      </c>
    </row>
    <row r="4" spans="1:21" x14ac:dyDescent="0.45">
      <c r="A4">
        <v>28</v>
      </c>
      <c r="B4" t="s">
        <v>42</v>
      </c>
      <c r="C4" s="1">
        <v>0.50490000000000002</v>
      </c>
      <c r="D4" s="1">
        <v>0.72119999999999995</v>
      </c>
      <c r="E4" s="1">
        <v>0.61829999999999996</v>
      </c>
      <c r="F4" s="1">
        <v>0.42299999999999999</v>
      </c>
      <c r="H4">
        <v>2</v>
      </c>
      <c r="I4" t="s">
        <v>68</v>
      </c>
      <c r="J4" s="1">
        <v>0.626</v>
      </c>
      <c r="K4" s="1">
        <v>0.752</v>
      </c>
      <c r="L4" s="1">
        <v>0.71819999999999995</v>
      </c>
      <c r="M4" s="1">
        <v>0.54690000000000005</v>
      </c>
      <c r="O4">
        <v>2</v>
      </c>
      <c r="P4" t="s">
        <v>68</v>
      </c>
      <c r="Q4" s="1">
        <v>0.61809999999999998</v>
      </c>
      <c r="R4" s="1">
        <v>0.82609999999999995</v>
      </c>
      <c r="S4" s="1">
        <v>0.73380000000000001</v>
      </c>
      <c r="T4" s="1">
        <v>0.56989999999999996</v>
      </c>
      <c r="U4" s="1">
        <f t="shared" si="0"/>
        <v>2.2999999999999909E-2</v>
      </c>
    </row>
    <row r="5" spans="1:21" x14ac:dyDescent="0.45">
      <c r="A5">
        <v>14</v>
      </c>
      <c r="B5" t="s">
        <v>28</v>
      </c>
      <c r="C5" s="1">
        <v>0.64600000000000002</v>
      </c>
      <c r="D5" s="1">
        <v>0.8105</v>
      </c>
      <c r="E5" s="1">
        <v>0.69750000000000001</v>
      </c>
      <c r="F5" s="1">
        <v>0.44130000000000003</v>
      </c>
      <c r="H5">
        <v>3</v>
      </c>
      <c r="I5" t="s">
        <v>17</v>
      </c>
      <c r="J5" s="1">
        <v>0.75</v>
      </c>
      <c r="K5" s="1">
        <v>0.81169999999999998</v>
      </c>
      <c r="L5" s="1">
        <v>0.77470000000000006</v>
      </c>
      <c r="M5" s="1">
        <v>0.58450000000000002</v>
      </c>
      <c r="O5">
        <v>3</v>
      </c>
      <c r="P5" t="s">
        <v>17</v>
      </c>
      <c r="Q5" s="1">
        <v>0.74170000000000003</v>
      </c>
      <c r="R5" s="1">
        <v>0.78890000000000005</v>
      </c>
      <c r="S5" s="1">
        <v>0.77749999999999997</v>
      </c>
      <c r="T5" s="1">
        <v>0.62209999999999999</v>
      </c>
      <c r="U5" s="1">
        <f t="shared" si="0"/>
        <v>3.7599999999999967E-2</v>
      </c>
    </row>
    <row r="6" spans="1:21" x14ac:dyDescent="0.45">
      <c r="A6">
        <v>22</v>
      </c>
      <c r="B6" t="s">
        <v>36</v>
      </c>
      <c r="C6" s="1">
        <v>0.66059999999999997</v>
      </c>
      <c r="D6" s="1">
        <v>0.66420000000000001</v>
      </c>
      <c r="E6" s="1">
        <v>0.68959999999999999</v>
      </c>
      <c r="F6" s="1">
        <v>0.48680000000000001</v>
      </c>
      <c r="H6">
        <v>4</v>
      </c>
      <c r="I6" t="s">
        <v>18</v>
      </c>
      <c r="J6" s="1">
        <v>0.71389999999999998</v>
      </c>
      <c r="K6" s="1">
        <v>0.84909999999999997</v>
      </c>
      <c r="L6" s="1">
        <v>0.77049999999999996</v>
      </c>
      <c r="M6" s="1">
        <v>0.60260000000000002</v>
      </c>
      <c r="O6">
        <v>4</v>
      </c>
      <c r="P6" t="s">
        <v>18</v>
      </c>
      <c r="Q6" s="1">
        <v>0.72389999999999999</v>
      </c>
      <c r="R6" s="1">
        <v>0.86650000000000005</v>
      </c>
      <c r="S6" s="1">
        <v>0.78059999999999996</v>
      </c>
      <c r="T6" s="1">
        <v>0.61370000000000002</v>
      </c>
      <c r="U6" s="1">
        <f t="shared" si="0"/>
        <v>1.1099999999999999E-2</v>
      </c>
    </row>
    <row r="7" spans="1:21" x14ac:dyDescent="0.45">
      <c r="A7">
        <v>25</v>
      </c>
      <c r="B7" t="s">
        <v>39</v>
      </c>
      <c r="C7" s="1">
        <v>0.66390000000000005</v>
      </c>
      <c r="D7" s="1">
        <v>0.80120000000000002</v>
      </c>
      <c r="E7" s="1">
        <v>0.67689999999999995</v>
      </c>
      <c r="F7" s="1">
        <v>0.50149999999999995</v>
      </c>
      <c r="H7">
        <v>5</v>
      </c>
      <c r="I7" t="s">
        <v>19</v>
      </c>
      <c r="J7" s="1">
        <v>0.7712</v>
      </c>
      <c r="K7" s="1">
        <v>0.88519999999999999</v>
      </c>
      <c r="L7" s="1">
        <v>0.84099999999999997</v>
      </c>
      <c r="M7" s="1">
        <v>0.55530000000000002</v>
      </c>
      <c r="O7">
        <v>5</v>
      </c>
      <c r="P7" t="s">
        <v>19</v>
      </c>
      <c r="Q7" s="1">
        <v>0.77990000000000004</v>
      </c>
      <c r="R7" s="1">
        <v>0.89200000000000002</v>
      </c>
      <c r="S7" s="1">
        <v>0.85199999999999998</v>
      </c>
      <c r="T7" s="1">
        <v>0.57130000000000003</v>
      </c>
      <c r="U7" s="1">
        <f t="shared" si="0"/>
        <v>1.6000000000000014E-2</v>
      </c>
    </row>
    <row r="8" spans="1:21" x14ac:dyDescent="0.45">
      <c r="A8">
        <v>10</v>
      </c>
      <c r="B8" t="s">
        <v>24</v>
      </c>
      <c r="C8" s="1">
        <v>0.68789999999999996</v>
      </c>
      <c r="D8" s="1">
        <v>0.79259999999999997</v>
      </c>
      <c r="E8" s="1">
        <v>0.74070000000000003</v>
      </c>
      <c r="F8" s="1">
        <v>0.51490000000000002</v>
      </c>
      <c r="H8">
        <v>6</v>
      </c>
      <c r="I8" t="s">
        <v>20</v>
      </c>
      <c r="J8" s="1">
        <v>0.68459999999999999</v>
      </c>
      <c r="K8" s="1">
        <v>0.88009999999999999</v>
      </c>
      <c r="L8" s="1">
        <v>0.73119999999999996</v>
      </c>
      <c r="M8" s="1">
        <v>0.57740000000000002</v>
      </c>
      <c r="O8">
        <v>6</v>
      </c>
      <c r="P8" t="s">
        <v>20</v>
      </c>
      <c r="Q8" s="1">
        <v>0.70340000000000003</v>
      </c>
      <c r="R8" s="1">
        <v>0.82540000000000002</v>
      </c>
      <c r="S8" s="1">
        <v>0.77049999999999996</v>
      </c>
      <c r="T8" s="1">
        <v>0.62360000000000004</v>
      </c>
      <c r="U8" s="1">
        <f t="shared" si="0"/>
        <v>4.6200000000000019E-2</v>
      </c>
    </row>
    <row r="9" spans="1:21" x14ac:dyDescent="0.45">
      <c r="A9">
        <v>2</v>
      </c>
      <c r="B9" t="s">
        <v>68</v>
      </c>
      <c r="C9" s="1">
        <v>0.6341</v>
      </c>
      <c r="D9" s="1">
        <v>0.79869999999999997</v>
      </c>
      <c r="E9" s="1">
        <v>0.72189999999999999</v>
      </c>
      <c r="F9" s="1">
        <v>0.54910000000000003</v>
      </c>
      <c r="H9">
        <v>7</v>
      </c>
      <c r="I9" t="s">
        <v>21</v>
      </c>
      <c r="J9" s="1">
        <v>0.79579999999999995</v>
      </c>
      <c r="K9" s="1">
        <v>0.80800000000000005</v>
      </c>
      <c r="L9" s="1">
        <v>0.83520000000000005</v>
      </c>
      <c r="M9" s="1">
        <v>0.59860000000000002</v>
      </c>
      <c r="O9">
        <v>7</v>
      </c>
      <c r="P9" t="s">
        <v>21</v>
      </c>
      <c r="Q9" s="1">
        <v>0.83189999999999997</v>
      </c>
      <c r="R9" s="1">
        <v>0.86370000000000002</v>
      </c>
      <c r="S9" s="1">
        <v>0.84499999999999997</v>
      </c>
      <c r="T9" s="1">
        <v>0.61880000000000002</v>
      </c>
      <c r="U9" s="1">
        <f t="shared" si="0"/>
        <v>2.0199999999999996E-2</v>
      </c>
    </row>
    <row r="10" spans="1:21" x14ac:dyDescent="0.45">
      <c r="A10">
        <v>24</v>
      </c>
      <c r="B10" t="s">
        <v>38</v>
      </c>
      <c r="C10" s="1">
        <v>0.59830000000000005</v>
      </c>
      <c r="D10" s="1">
        <v>0.86040000000000005</v>
      </c>
      <c r="E10" s="1">
        <v>0.69830000000000003</v>
      </c>
      <c r="F10" s="1">
        <v>0.55089999999999995</v>
      </c>
      <c r="H10">
        <v>8</v>
      </c>
      <c r="I10" t="s">
        <v>22</v>
      </c>
      <c r="J10" s="1">
        <v>0.79090000000000005</v>
      </c>
      <c r="K10" s="1">
        <v>0.81159999999999999</v>
      </c>
      <c r="L10" s="1">
        <v>0.83509999999999995</v>
      </c>
      <c r="M10" s="1">
        <v>0.63</v>
      </c>
      <c r="O10">
        <v>8</v>
      </c>
      <c r="P10" t="s">
        <v>22</v>
      </c>
      <c r="Q10" s="1">
        <v>0.83089999999999997</v>
      </c>
      <c r="R10" s="1">
        <v>0.8276</v>
      </c>
      <c r="S10" s="1">
        <v>0.82789999999999997</v>
      </c>
      <c r="T10" s="1">
        <v>0.63990000000000002</v>
      </c>
      <c r="U10" s="1">
        <f t="shared" si="0"/>
        <v>9.9000000000000199E-3</v>
      </c>
    </row>
    <row r="11" spans="1:21" x14ac:dyDescent="0.45">
      <c r="A11">
        <v>5</v>
      </c>
      <c r="B11" t="s">
        <v>19</v>
      </c>
      <c r="C11" s="1">
        <v>0.76670000000000005</v>
      </c>
      <c r="D11" s="1">
        <v>0.9022</v>
      </c>
      <c r="E11" s="1">
        <v>0.83309999999999995</v>
      </c>
      <c r="F11" s="1">
        <v>0.55469999999999997</v>
      </c>
      <c r="H11">
        <v>9</v>
      </c>
      <c r="I11" t="s">
        <v>23</v>
      </c>
      <c r="J11" s="1">
        <v>0.7681</v>
      </c>
      <c r="K11" s="1">
        <v>0.89200000000000002</v>
      </c>
      <c r="L11" s="1">
        <v>0.87649999999999995</v>
      </c>
      <c r="M11" s="1">
        <v>0.66700000000000004</v>
      </c>
      <c r="O11">
        <v>9</v>
      </c>
      <c r="P11" t="s">
        <v>23</v>
      </c>
      <c r="Q11" s="1">
        <v>0.80840000000000001</v>
      </c>
      <c r="R11" s="1">
        <v>0.91249999999999998</v>
      </c>
      <c r="S11" s="1">
        <v>0.86309999999999998</v>
      </c>
      <c r="T11" s="1">
        <v>0.66979999999999995</v>
      </c>
      <c r="U11" s="1">
        <f t="shared" si="0"/>
        <v>2.7999999999999137E-3</v>
      </c>
    </row>
    <row r="12" spans="1:21" x14ac:dyDescent="0.45">
      <c r="A12">
        <v>29</v>
      </c>
      <c r="B12" t="s">
        <v>43</v>
      </c>
      <c r="C12" s="1">
        <v>0.64339999999999997</v>
      </c>
      <c r="D12" s="1">
        <v>0.81189999999999996</v>
      </c>
      <c r="E12" s="1">
        <v>0.72199999999999998</v>
      </c>
      <c r="F12" s="1">
        <v>0.56069999999999998</v>
      </c>
      <c r="H12">
        <v>10</v>
      </c>
      <c r="I12" t="s">
        <v>24</v>
      </c>
      <c r="J12" s="1">
        <v>0.68149999999999999</v>
      </c>
      <c r="K12" s="1">
        <v>0.76759999999999995</v>
      </c>
      <c r="L12" s="1">
        <v>0.73329999999999995</v>
      </c>
      <c r="M12" s="1">
        <v>0.51459999999999995</v>
      </c>
      <c r="O12">
        <v>10</v>
      </c>
      <c r="P12" t="s">
        <v>24</v>
      </c>
      <c r="Q12" s="1">
        <v>0.69950000000000001</v>
      </c>
      <c r="R12" s="1">
        <v>0.75309999999999999</v>
      </c>
      <c r="S12" s="1">
        <v>0.73880000000000001</v>
      </c>
      <c r="T12" s="1">
        <v>0.51100000000000001</v>
      </c>
      <c r="U12" s="1">
        <f t="shared" si="0"/>
        <v>-3.5999999999999366E-3</v>
      </c>
    </row>
    <row r="13" spans="1:21" x14ac:dyDescent="0.45">
      <c r="A13">
        <v>21</v>
      </c>
      <c r="B13" t="s">
        <v>35</v>
      </c>
      <c r="C13" s="1">
        <v>0.6371</v>
      </c>
      <c r="D13" s="1">
        <v>0.81710000000000005</v>
      </c>
      <c r="E13" s="1">
        <v>0.74239999999999995</v>
      </c>
      <c r="F13" s="1">
        <v>0.56130000000000002</v>
      </c>
      <c r="H13">
        <v>11</v>
      </c>
      <c r="I13" t="s">
        <v>25</v>
      </c>
      <c r="J13" s="1">
        <v>0.82950000000000002</v>
      </c>
      <c r="K13" s="1">
        <v>0.93420000000000003</v>
      </c>
      <c r="L13" s="1">
        <v>0.88919999999999999</v>
      </c>
      <c r="M13" s="1">
        <v>0.65659999999999996</v>
      </c>
      <c r="O13">
        <v>11</v>
      </c>
      <c r="P13" t="s">
        <v>25</v>
      </c>
      <c r="Q13" s="1">
        <v>0.85599999999999998</v>
      </c>
      <c r="R13" s="1">
        <v>0.96499999999999997</v>
      </c>
      <c r="S13" s="1">
        <v>0.92049999999999998</v>
      </c>
      <c r="T13" s="1">
        <v>0.69950000000000001</v>
      </c>
      <c r="U13" s="1">
        <f t="shared" si="0"/>
        <v>4.2900000000000049E-2</v>
      </c>
    </row>
    <row r="14" spans="1:21" x14ac:dyDescent="0.45">
      <c r="A14">
        <v>6</v>
      </c>
      <c r="B14" t="s">
        <v>20</v>
      </c>
      <c r="C14" s="1">
        <v>0.68640000000000001</v>
      </c>
      <c r="D14" s="1">
        <v>0.875</v>
      </c>
      <c r="E14" s="1">
        <v>0.73270000000000002</v>
      </c>
      <c r="F14" s="1">
        <v>0.57809999999999995</v>
      </c>
      <c r="H14">
        <v>12</v>
      </c>
      <c r="I14" t="s">
        <v>26</v>
      </c>
      <c r="J14" s="1">
        <v>0.79259999999999997</v>
      </c>
      <c r="K14" s="1">
        <v>0.88280000000000003</v>
      </c>
      <c r="L14" s="1">
        <v>0.85189999999999999</v>
      </c>
      <c r="M14" s="1">
        <v>0.65610000000000002</v>
      </c>
      <c r="O14">
        <v>12</v>
      </c>
      <c r="P14" t="s">
        <v>26</v>
      </c>
      <c r="Q14" s="1">
        <v>0.76390000000000002</v>
      </c>
      <c r="R14" s="1">
        <v>0.90229999999999999</v>
      </c>
      <c r="S14" s="1">
        <v>0.82840000000000003</v>
      </c>
      <c r="T14" s="1">
        <v>0.6613</v>
      </c>
      <c r="U14" s="1">
        <f t="shared" si="0"/>
        <v>5.1999999999999824E-3</v>
      </c>
    </row>
    <row r="15" spans="1:21" x14ac:dyDescent="0.45">
      <c r="A15">
        <v>15</v>
      </c>
      <c r="B15" t="s">
        <v>29</v>
      </c>
      <c r="C15" s="1">
        <v>0.78120000000000001</v>
      </c>
      <c r="D15" s="1">
        <v>0.89390000000000003</v>
      </c>
      <c r="E15" s="1">
        <v>0.84799999999999998</v>
      </c>
      <c r="F15" s="1">
        <v>0.58040000000000003</v>
      </c>
      <c r="H15">
        <v>13</v>
      </c>
      <c r="I15" t="s">
        <v>27</v>
      </c>
      <c r="J15" s="1">
        <v>0.83730000000000004</v>
      </c>
      <c r="K15" s="1">
        <v>0.9274</v>
      </c>
      <c r="L15" s="1">
        <v>0.89280000000000004</v>
      </c>
      <c r="M15" s="1">
        <v>0.65659999999999996</v>
      </c>
      <c r="O15">
        <v>13</v>
      </c>
      <c r="P15" t="s">
        <v>27</v>
      </c>
      <c r="Q15" s="1">
        <v>0.84119999999999995</v>
      </c>
      <c r="R15" s="1">
        <v>0.90369999999999995</v>
      </c>
      <c r="S15" s="1">
        <v>0.89549999999999996</v>
      </c>
      <c r="T15" s="1">
        <v>0.67720000000000002</v>
      </c>
      <c r="U15" s="1">
        <f t="shared" si="0"/>
        <v>2.0600000000000063E-2</v>
      </c>
    </row>
    <row r="16" spans="1:21" x14ac:dyDescent="0.45">
      <c r="A16">
        <v>27</v>
      </c>
      <c r="B16" t="s">
        <v>41</v>
      </c>
      <c r="C16" s="1">
        <v>0.72160000000000002</v>
      </c>
      <c r="D16" s="1">
        <v>0.86599999999999999</v>
      </c>
      <c r="E16" s="1">
        <v>0.78110000000000002</v>
      </c>
      <c r="F16" s="1">
        <v>0.58240000000000003</v>
      </c>
      <c r="H16">
        <v>14</v>
      </c>
      <c r="I16" t="s">
        <v>28</v>
      </c>
      <c r="J16" s="1">
        <v>0.65529999999999999</v>
      </c>
      <c r="K16" s="1">
        <v>0.81100000000000005</v>
      </c>
      <c r="L16" s="1">
        <v>0.70009999999999994</v>
      </c>
      <c r="M16" s="1">
        <v>0.4415</v>
      </c>
      <c r="O16">
        <v>14</v>
      </c>
      <c r="P16" t="s">
        <v>28</v>
      </c>
      <c r="Q16" s="1">
        <v>0.68069999999999997</v>
      </c>
      <c r="R16" s="1">
        <v>0.8377</v>
      </c>
      <c r="S16" s="1">
        <v>0.75470000000000004</v>
      </c>
      <c r="T16" s="1">
        <v>0.49230000000000002</v>
      </c>
      <c r="U16" s="1">
        <f t="shared" si="0"/>
        <v>5.0800000000000012E-2</v>
      </c>
    </row>
    <row r="17" spans="1:21" x14ac:dyDescent="0.45">
      <c r="A17">
        <v>3</v>
      </c>
      <c r="B17" t="s">
        <v>17</v>
      </c>
      <c r="C17" s="1">
        <v>0.73750000000000004</v>
      </c>
      <c r="D17" s="1">
        <v>0.82809999999999995</v>
      </c>
      <c r="E17" s="1">
        <v>0.77610000000000001</v>
      </c>
      <c r="F17" s="1">
        <v>0.58679999999999999</v>
      </c>
      <c r="H17">
        <v>15</v>
      </c>
      <c r="I17" t="s">
        <v>29</v>
      </c>
      <c r="J17" s="1">
        <v>0.78029999999999999</v>
      </c>
      <c r="K17" s="1">
        <v>0.88039999999999996</v>
      </c>
      <c r="L17" s="1">
        <v>0.84640000000000004</v>
      </c>
      <c r="M17" s="1">
        <v>0.57879999999999998</v>
      </c>
      <c r="O17">
        <v>15</v>
      </c>
      <c r="P17" t="s">
        <v>29</v>
      </c>
      <c r="Q17" s="1">
        <v>0.78259999999999996</v>
      </c>
      <c r="R17" s="1">
        <v>0.89629999999999999</v>
      </c>
      <c r="S17" s="1">
        <v>0.85699999999999998</v>
      </c>
      <c r="T17" s="1">
        <v>0.61699999999999999</v>
      </c>
      <c r="U17" s="1">
        <f t="shared" si="0"/>
        <v>3.8200000000000012E-2</v>
      </c>
    </row>
    <row r="18" spans="1:21" x14ac:dyDescent="0.45">
      <c r="A18">
        <v>7</v>
      </c>
      <c r="B18" t="s">
        <v>21</v>
      </c>
      <c r="C18" s="1">
        <v>0.79410000000000003</v>
      </c>
      <c r="D18" s="1">
        <v>0.8145</v>
      </c>
      <c r="E18" s="1">
        <v>0.83260000000000001</v>
      </c>
      <c r="F18" s="1">
        <v>0.59630000000000005</v>
      </c>
      <c r="H18">
        <v>16</v>
      </c>
      <c r="I18" t="s">
        <v>30</v>
      </c>
      <c r="J18" s="1">
        <v>0.81589999999999996</v>
      </c>
      <c r="K18" s="1">
        <v>0.88990000000000002</v>
      </c>
      <c r="L18" s="1">
        <v>0.85019999999999996</v>
      </c>
      <c r="M18" s="1">
        <v>0.66490000000000005</v>
      </c>
      <c r="O18">
        <v>16</v>
      </c>
      <c r="P18" t="s">
        <v>30</v>
      </c>
      <c r="Q18" s="1">
        <v>0.81479999999999997</v>
      </c>
      <c r="R18" s="1">
        <v>0.91739999999999999</v>
      </c>
      <c r="S18" s="1">
        <v>0.89600000000000002</v>
      </c>
      <c r="T18" s="1">
        <v>0.71609999999999996</v>
      </c>
      <c r="U18" s="1">
        <f t="shared" si="0"/>
        <v>5.1199999999999912E-2</v>
      </c>
    </row>
    <row r="19" spans="1:21" x14ac:dyDescent="0.45">
      <c r="A19">
        <v>1</v>
      </c>
      <c r="B19" t="s">
        <v>15</v>
      </c>
      <c r="C19" s="1">
        <v>0.80889999999999995</v>
      </c>
      <c r="D19" s="1">
        <v>0.91320000000000001</v>
      </c>
      <c r="E19" s="1">
        <v>0.87180000000000002</v>
      </c>
      <c r="F19" s="1">
        <v>0.60129999999999995</v>
      </c>
      <c r="H19">
        <v>17</v>
      </c>
      <c r="I19" t="s">
        <v>31</v>
      </c>
      <c r="J19" s="1">
        <v>0.92520000000000002</v>
      </c>
      <c r="K19" s="1">
        <v>0.89049999999999996</v>
      </c>
      <c r="L19" s="1">
        <v>0.9355</v>
      </c>
      <c r="M19" s="1">
        <v>0.74229999999999996</v>
      </c>
      <c r="O19">
        <v>17</v>
      </c>
      <c r="P19" t="s">
        <v>31</v>
      </c>
      <c r="Q19" s="1">
        <v>0.94389999999999996</v>
      </c>
      <c r="R19" s="1">
        <v>0.96</v>
      </c>
      <c r="S19" s="1">
        <v>0.97270000000000001</v>
      </c>
      <c r="T19" s="1">
        <v>0.78680000000000005</v>
      </c>
      <c r="U19" s="1">
        <f t="shared" si="0"/>
        <v>4.4500000000000095E-2</v>
      </c>
    </row>
    <row r="20" spans="1:21" x14ac:dyDescent="0.45">
      <c r="A20">
        <v>4</v>
      </c>
      <c r="B20" t="s">
        <v>18</v>
      </c>
      <c r="C20" s="1">
        <v>0.69789999999999996</v>
      </c>
      <c r="D20" s="1">
        <v>0.84619999999999995</v>
      </c>
      <c r="E20" s="1">
        <v>0.7742</v>
      </c>
      <c r="F20" s="1">
        <v>0.60409999999999997</v>
      </c>
      <c r="H20">
        <v>18</v>
      </c>
      <c r="I20" t="s">
        <v>32</v>
      </c>
      <c r="J20" s="1">
        <v>0.77270000000000005</v>
      </c>
      <c r="K20" s="1">
        <v>0.95699999999999996</v>
      </c>
      <c r="L20" s="1">
        <v>0.8841</v>
      </c>
      <c r="M20" s="1">
        <v>0.69830000000000003</v>
      </c>
      <c r="O20">
        <v>18</v>
      </c>
      <c r="P20" t="s">
        <v>32</v>
      </c>
      <c r="Q20" s="1">
        <v>0.8377</v>
      </c>
      <c r="R20" s="1">
        <v>0.9788</v>
      </c>
      <c r="S20" s="1">
        <v>0.92910000000000004</v>
      </c>
      <c r="T20" s="1">
        <v>0.76349999999999996</v>
      </c>
      <c r="U20" s="1">
        <f t="shared" si="0"/>
        <v>6.5199999999999925E-2</v>
      </c>
    </row>
    <row r="21" spans="1:21" x14ac:dyDescent="0.45">
      <c r="A21">
        <v>8</v>
      </c>
      <c r="B21" t="s">
        <v>22</v>
      </c>
      <c r="C21" s="1">
        <v>0.78580000000000005</v>
      </c>
      <c r="D21" s="1">
        <v>0.81469999999999998</v>
      </c>
      <c r="E21" s="1">
        <v>0.83540000000000003</v>
      </c>
      <c r="F21" s="1">
        <v>0.622</v>
      </c>
      <c r="H21">
        <v>19</v>
      </c>
      <c r="I21" t="s">
        <v>33</v>
      </c>
      <c r="J21" s="1">
        <v>0.51119999999999999</v>
      </c>
      <c r="K21" s="1">
        <v>0.70140000000000002</v>
      </c>
      <c r="L21" s="1">
        <v>0.54669999999999996</v>
      </c>
      <c r="M21" s="1">
        <v>0.38540000000000002</v>
      </c>
      <c r="O21">
        <v>19</v>
      </c>
      <c r="P21" t="s">
        <v>33</v>
      </c>
      <c r="Q21" s="1">
        <v>0.5262</v>
      </c>
      <c r="R21" s="1">
        <v>0.74280000000000002</v>
      </c>
      <c r="S21" s="1">
        <v>0.5786</v>
      </c>
      <c r="T21" s="1">
        <v>0.44040000000000001</v>
      </c>
      <c r="U21" s="1">
        <f t="shared" si="0"/>
        <v>5.4999999999999993E-2</v>
      </c>
    </row>
    <row r="22" spans="1:21" x14ac:dyDescent="0.45">
      <c r="A22">
        <v>30</v>
      </c>
      <c r="B22" t="s">
        <v>69</v>
      </c>
      <c r="C22" s="1">
        <v>0.74319999999999997</v>
      </c>
      <c r="D22" s="1">
        <v>0.76580000000000004</v>
      </c>
      <c r="E22" s="1">
        <v>0.78820000000000001</v>
      </c>
      <c r="F22" s="1">
        <v>0.63970000000000005</v>
      </c>
      <c r="H22">
        <v>20</v>
      </c>
      <c r="I22" t="s">
        <v>34</v>
      </c>
      <c r="J22" s="1">
        <v>0.85450000000000004</v>
      </c>
      <c r="K22" s="1">
        <v>0.81710000000000005</v>
      </c>
      <c r="L22" s="1">
        <v>0.84009999999999996</v>
      </c>
      <c r="M22" s="1">
        <v>0.66049999999999998</v>
      </c>
      <c r="O22">
        <v>20</v>
      </c>
      <c r="P22" t="s">
        <v>34</v>
      </c>
      <c r="Q22" s="1">
        <v>0.86360000000000003</v>
      </c>
      <c r="R22" s="1">
        <v>0.85150000000000003</v>
      </c>
      <c r="S22" s="1">
        <v>0.88300000000000001</v>
      </c>
      <c r="T22" s="1">
        <v>0.7137</v>
      </c>
      <c r="U22" s="1">
        <f t="shared" si="0"/>
        <v>5.3200000000000025E-2</v>
      </c>
    </row>
    <row r="23" spans="1:21" x14ac:dyDescent="0.45">
      <c r="A23">
        <v>0</v>
      </c>
      <c r="B23" t="s">
        <v>14</v>
      </c>
      <c r="C23" s="1">
        <v>0.86009999999999998</v>
      </c>
      <c r="D23" s="1">
        <v>0.88539999999999996</v>
      </c>
      <c r="E23" s="1">
        <v>0.90880000000000005</v>
      </c>
      <c r="F23" s="1">
        <v>0.64790000000000003</v>
      </c>
      <c r="H23">
        <v>21</v>
      </c>
      <c r="I23" t="s">
        <v>35</v>
      </c>
      <c r="J23" s="1">
        <v>0.6371</v>
      </c>
      <c r="K23" s="1">
        <v>0.81430000000000002</v>
      </c>
      <c r="L23" s="1">
        <v>0.74239999999999995</v>
      </c>
      <c r="M23" s="1">
        <v>0.56520000000000004</v>
      </c>
      <c r="O23">
        <v>21</v>
      </c>
      <c r="P23" t="s">
        <v>35</v>
      </c>
      <c r="Q23" s="1">
        <v>0.75</v>
      </c>
      <c r="R23" s="1">
        <v>0.8478</v>
      </c>
      <c r="S23" s="1">
        <v>0.81159999999999999</v>
      </c>
      <c r="T23" s="1">
        <v>0.63139999999999996</v>
      </c>
      <c r="U23" s="1">
        <f t="shared" si="0"/>
        <v>6.6199999999999926E-2</v>
      </c>
    </row>
    <row r="24" spans="1:21" x14ac:dyDescent="0.45">
      <c r="A24">
        <v>13</v>
      </c>
      <c r="B24" t="s">
        <v>27</v>
      </c>
      <c r="C24" s="1">
        <v>0.83099999999999996</v>
      </c>
      <c r="D24" s="1">
        <v>0.92010000000000003</v>
      </c>
      <c r="E24" s="1">
        <v>0.88870000000000005</v>
      </c>
      <c r="F24" s="1">
        <v>0.65100000000000002</v>
      </c>
      <c r="H24">
        <v>22</v>
      </c>
      <c r="I24" t="s">
        <v>36</v>
      </c>
      <c r="J24" s="1">
        <v>0.67379999999999995</v>
      </c>
      <c r="K24" s="1">
        <v>0.65</v>
      </c>
      <c r="L24" s="1">
        <v>0.69010000000000005</v>
      </c>
      <c r="M24" s="1">
        <v>0.4859</v>
      </c>
      <c r="O24">
        <v>22</v>
      </c>
      <c r="P24" t="s">
        <v>36</v>
      </c>
      <c r="Q24" s="1">
        <v>0.71499999999999997</v>
      </c>
      <c r="R24" s="1">
        <v>0.66959999999999997</v>
      </c>
      <c r="S24" s="1">
        <v>0.73699999999999999</v>
      </c>
      <c r="T24" s="1">
        <v>0.55159999999999998</v>
      </c>
      <c r="U24" s="1">
        <f t="shared" si="0"/>
        <v>6.5699999999999981E-2</v>
      </c>
    </row>
    <row r="25" spans="1:21" x14ac:dyDescent="0.45">
      <c r="A25">
        <v>11</v>
      </c>
      <c r="B25" t="s">
        <v>25</v>
      </c>
      <c r="C25" s="1">
        <v>0.82869999999999999</v>
      </c>
      <c r="D25" s="1">
        <v>0.9385</v>
      </c>
      <c r="E25" s="1">
        <v>0.88729999999999998</v>
      </c>
      <c r="F25" s="1">
        <v>0.65769999999999995</v>
      </c>
      <c r="H25">
        <v>23</v>
      </c>
      <c r="I25" t="s">
        <v>37</v>
      </c>
      <c r="J25" s="1">
        <v>0.85750000000000004</v>
      </c>
      <c r="K25" s="1">
        <v>0.90990000000000004</v>
      </c>
      <c r="L25" s="1">
        <v>0.91180000000000005</v>
      </c>
      <c r="M25" s="1">
        <v>0.73029999999999995</v>
      </c>
      <c r="O25">
        <v>23</v>
      </c>
      <c r="P25" t="s">
        <v>37</v>
      </c>
      <c r="Q25" s="1">
        <v>0.86329999999999996</v>
      </c>
      <c r="R25" s="1">
        <v>0.94820000000000004</v>
      </c>
      <c r="S25" s="1">
        <v>0.92949999999999999</v>
      </c>
      <c r="T25" s="1">
        <v>0.79430000000000001</v>
      </c>
      <c r="U25" s="1">
        <f t="shared" si="0"/>
        <v>6.4000000000000057E-2</v>
      </c>
    </row>
    <row r="26" spans="1:21" x14ac:dyDescent="0.45">
      <c r="A26">
        <v>20</v>
      </c>
      <c r="B26" t="s">
        <v>34</v>
      </c>
      <c r="C26" s="1">
        <v>0.84899999999999998</v>
      </c>
      <c r="D26" s="1">
        <v>0.80930000000000002</v>
      </c>
      <c r="E26" s="1">
        <v>0.84109999999999996</v>
      </c>
      <c r="F26" s="1">
        <v>0.65890000000000004</v>
      </c>
      <c r="H26">
        <v>24</v>
      </c>
      <c r="I26" t="s">
        <v>38</v>
      </c>
      <c r="J26" s="1">
        <v>0.5897</v>
      </c>
      <c r="K26" s="1">
        <v>0.8175</v>
      </c>
      <c r="L26" s="1">
        <v>0.70009999999999994</v>
      </c>
      <c r="M26" s="1">
        <v>0.55469999999999997</v>
      </c>
      <c r="O26">
        <v>24</v>
      </c>
      <c r="P26" t="s">
        <v>38</v>
      </c>
      <c r="Q26" s="1">
        <v>0.65259999999999996</v>
      </c>
      <c r="R26" s="1">
        <v>0.87409999999999999</v>
      </c>
      <c r="S26" s="1">
        <v>0.76229999999999998</v>
      </c>
      <c r="T26" s="1">
        <v>0.61029999999999995</v>
      </c>
      <c r="U26" s="1">
        <f t="shared" si="0"/>
        <v>5.5599999999999983E-2</v>
      </c>
    </row>
    <row r="27" spans="1:21" x14ac:dyDescent="0.45">
      <c r="A27">
        <v>12</v>
      </c>
      <c r="B27" t="s">
        <v>26</v>
      </c>
      <c r="C27" s="1">
        <v>0.78200000000000003</v>
      </c>
      <c r="D27" s="1">
        <v>0.89049999999999996</v>
      </c>
      <c r="E27" s="1">
        <v>0.8538</v>
      </c>
      <c r="F27" s="1">
        <v>0.66110000000000002</v>
      </c>
      <c r="H27">
        <v>25</v>
      </c>
      <c r="I27" t="s">
        <v>39</v>
      </c>
      <c r="J27" s="1">
        <v>0.67210000000000003</v>
      </c>
      <c r="K27" s="1">
        <v>0.77990000000000004</v>
      </c>
      <c r="L27" s="1">
        <v>0.68030000000000002</v>
      </c>
      <c r="M27" s="1">
        <v>0.50449999999999995</v>
      </c>
      <c r="O27">
        <v>25</v>
      </c>
      <c r="P27" t="s">
        <v>39</v>
      </c>
      <c r="Q27" s="1">
        <v>0.64749999999999996</v>
      </c>
      <c r="R27" s="1">
        <v>0.78500000000000003</v>
      </c>
      <c r="S27" s="1">
        <v>0.68269999999999997</v>
      </c>
      <c r="T27" s="1">
        <v>0.53280000000000005</v>
      </c>
      <c r="U27" s="1">
        <f t="shared" si="0"/>
        <v>2.8300000000000103E-2</v>
      </c>
    </row>
    <row r="28" spans="1:21" x14ac:dyDescent="0.45">
      <c r="A28">
        <v>16</v>
      </c>
      <c r="B28" t="s">
        <v>30</v>
      </c>
      <c r="C28" s="1">
        <v>0.8165</v>
      </c>
      <c r="D28" s="1">
        <v>0.87919999999999998</v>
      </c>
      <c r="E28" s="1">
        <v>0.84530000000000005</v>
      </c>
      <c r="F28" s="1">
        <v>0.66469999999999996</v>
      </c>
      <c r="H28">
        <v>26</v>
      </c>
      <c r="I28" t="s">
        <v>40</v>
      </c>
      <c r="J28" s="1">
        <v>0.42280000000000001</v>
      </c>
      <c r="K28" s="1">
        <v>0.6804</v>
      </c>
      <c r="L28" s="1">
        <v>0.52580000000000005</v>
      </c>
      <c r="M28" s="1">
        <v>0.33090000000000003</v>
      </c>
      <c r="O28">
        <v>26</v>
      </c>
      <c r="P28" t="s">
        <v>40</v>
      </c>
      <c r="Q28" s="1">
        <v>0.48159999999999997</v>
      </c>
      <c r="R28" s="1">
        <v>0.70050000000000001</v>
      </c>
      <c r="S28" s="1">
        <v>0.55869999999999997</v>
      </c>
      <c r="T28" s="1">
        <v>0.3649</v>
      </c>
      <c r="U28" s="1">
        <f t="shared" si="0"/>
        <v>3.3999999999999975E-2</v>
      </c>
    </row>
    <row r="29" spans="1:21" x14ac:dyDescent="0.45">
      <c r="A29">
        <v>9</v>
      </c>
      <c r="B29" t="s">
        <v>23</v>
      </c>
      <c r="C29" s="1">
        <v>0.78290000000000004</v>
      </c>
      <c r="D29" s="1">
        <v>0.90900000000000003</v>
      </c>
      <c r="E29" s="1">
        <v>0.87839999999999996</v>
      </c>
      <c r="F29" s="1">
        <v>0.67210000000000003</v>
      </c>
      <c r="H29">
        <v>27</v>
      </c>
      <c r="I29" t="s">
        <v>41</v>
      </c>
      <c r="J29" s="1">
        <v>0.7208</v>
      </c>
      <c r="K29" s="1">
        <v>0.87809999999999999</v>
      </c>
      <c r="L29" s="1">
        <v>0.78169999999999995</v>
      </c>
      <c r="M29" s="1">
        <v>0.58450000000000002</v>
      </c>
      <c r="O29">
        <v>27</v>
      </c>
      <c r="P29" t="s">
        <v>41</v>
      </c>
      <c r="Q29" s="1">
        <v>0.71699999999999997</v>
      </c>
      <c r="R29" s="1">
        <v>0.83460000000000001</v>
      </c>
      <c r="S29" s="1">
        <v>0.77480000000000004</v>
      </c>
      <c r="T29" s="1">
        <v>0.61070000000000002</v>
      </c>
      <c r="U29" s="1">
        <f t="shared" si="0"/>
        <v>2.6200000000000001E-2</v>
      </c>
    </row>
    <row r="30" spans="1:21" x14ac:dyDescent="0.45">
      <c r="A30">
        <v>18</v>
      </c>
      <c r="B30" t="s">
        <v>32</v>
      </c>
      <c r="C30" s="1">
        <v>0.78500000000000003</v>
      </c>
      <c r="D30" s="1">
        <v>0.97740000000000005</v>
      </c>
      <c r="E30" s="1">
        <v>0.89659999999999995</v>
      </c>
      <c r="F30" s="1">
        <v>0.70079999999999998</v>
      </c>
      <c r="H30">
        <v>28</v>
      </c>
      <c r="I30" t="s">
        <v>42</v>
      </c>
      <c r="J30" s="1">
        <v>0.51139999999999997</v>
      </c>
      <c r="K30" s="1">
        <v>0.71660000000000001</v>
      </c>
      <c r="L30" s="1">
        <v>0.61560000000000004</v>
      </c>
      <c r="M30" s="1">
        <v>0.42159999999999997</v>
      </c>
      <c r="O30">
        <v>28</v>
      </c>
      <c r="P30" t="s">
        <v>42</v>
      </c>
      <c r="Q30" s="1">
        <v>0.56710000000000005</v>
      </c>
      <c r="R30" s="1">
        <v>0.76659999999999995</v>
      </c>
      <c r="S30" s="1">
        <v>0.62870000000000004</v>
      </c>
      <c r="T30" s="1">
        <v>0.45629999999999998</v>
      </c>
      <c r="U30" s="1">
        <f t="shared" si="0"/>
        <v>3.4700000000000009E-2</v>
      </c>
    </row>
    <row r="31" spans="1:21" x14ac:dyDescent="0.45">
      <c r="A31">
        <v>31</v>
      </c>
      <c r="B31" t="s">
        <v>45</v>
      </c>
      <c r="C31" s="1">
        <v>0.8155</v>
      </c>
      <c r="D31" s="1">
        <v>0.82940000000000003</v>
      </c>
      <c r="E31" s="1">
        <v>0.85199999999999998</v>
      </c>
      <c r="F31" s="1">
        <v>0.72</v>
      </c>
      <c r="H31">
        <v>29</v>
      </c>
      <c r="I31" t="s">
        <v>43</v>
      </c>
      <c r="J31" s="1">
        <v>0.65210000000000001</v>
      </c>
      <c r="K31" s="1">
        <v>0.80789999999999995</v>
      </c>
      <c r="L31" s="1">
        <v>0.72140000000000004</v>
      </c>
      <c r="M31" s="1">
        <v>0.56130000000000002</v>
      </c>
      <c r="O31">
        <v>29</v>
      </c>
      <c r="P31" t="s">
        <v>43</v>
      </c>
      <c r="Q31" s="1">
        <v>0.6744</v>
      </c>
      <c r="R31" s="1">
        <v>0.85499999999999998</v>
      </c>
      <c r="S31" s="1">
        <v>0.75609999999999999</v>
      </c>
      <c r="T31" s="1">
        <v>0.59860000000000002</v>
      </c>
      <c r="U31" s="1">
        <f t="shared" si="0"/>
        <v>3.73E-2</v>
      </c>
    </row>
    <row r="32" spans="1:21" x14ac:dyDescent="0.45">
      <c r="A32">
        <v>23</v>
      </c>
      <c r="B32" t="s">
        <v>37</v>
      </c>
      <c r="C32" s="1">
        <v>0.85740000000000005</v>
      </c>
      <c r="D32" s="1">
        <v>0.93810000000000004</v>
      </c>
      <c r="E32" s="1">
        <v>0.91149999999999998</v>
      </c>
      <c r="F32" s="1">
        <v>0.73119999999999996</v>
      </c>
      <c r="H32">
        <v>30</v>
      </c>
      <c r="I32" t="s">
        <v>69</v>
      </c>
      <c r="J32" s="1">
        <v>0.73640000000000005</v>
      </c>
      <c r="K32" s="1">
        <v>0.745</v>
      </c>
      <c r="L32" s="1">
        <v>0.77769999999999995</v>
      </c>
      <c r="M32" s="1">
        <v>0.63249999999999995</v>
      </c>
      <c r="O32">
        <v>30</v>
      </c>
      <c r="P32" t="s">
        <v>69</v>
      </c>
      <c r="Q32" s="1">
        <v>0.77270000000000005</v>
      </c>
      <c r="R32" s="1">
        <v>0.81330000000000002</v>
      </c>
      <c r="S32" s="1">
        <v>0.83160000000000001</v>
      </c>
      <c r="T32" s="1">
        <v>0.70569999999999999</v>
      </c>
      <c r="U32" s="1">
        <f t="shared" si="0"/>
        <v>7.3200000000000043E-2</v>
      </c>
    </row>
    <row r="33" spans="1:21" x14ac:dyDescent="0.45">
      <c r="A33">
        <v>33</v>
      </c>
      <c r="B33" t="s">
        <v>47</v>
      </c>
      <c r="C33" s="1">
        <v>0.8972</v>
      </c>
      <c r="D33" s="1">
        <v>0.88119999999999998</v>
      </c>
      <c r="E33" s="1">
        <v>0.92549999999999999</v>
      </c>
      <c r="F33" s="1">
        <v>0.73350000000000004</v>
      </c>
      <c r="H33">
        <v>31</v>
      </c>
      <c r="I33" t="s">
        <v>45</v>
      </c>
      <c r="J33" s="1">
        <v>0.80579999999999996</v>
      </c>
      <c r="K33" s="1">
        <v>0.81589999999999996</v>
      </c>
      <c r="L33" s="1">
        <v>0.85309999999999997</v>
      </c>
      <c r="M33" s="1">
        <v>0.72789999999999999</v>
      </c>
      <c r="O33">
        <v>31</v>
      </c>
      <c r="P33" t="s">
        <v>45</v>
      </c>
      <c r="Q33" s="1">
        <v>0.83499999999999996</v>
      </c>
      <c r="R33" s="1">
        <v>0.8458</v>
      </c>
      <c r="S33" s="1">
        <v>0.88560000000000005</v>
      </c>
      <c r="T33" s="1">
        <v>0.77559999999999996</v>
      </c>
      <c r="U33" s="1">
        <f t="shared" si="0"/>
        <v>4.7699999999999965E-2</v>
      </c>
    </row>
    <row r="34" spans="1:21" x14ac:dyDescent="0.45">
      <c r="A34">
        <v>17</v>
      </c>
      <c r="B34" t="s">
        <v>31</v>
      </c>
      <c r="C34" s="1">
        <v>0.92520000000000002</v>
      </c>
      <c r="D34" s="1">
        <v>0.89749999999999996</v>
      </c>
      <c r="E34" s="1">
        <v>0.93830000000000002</v>
      </c>
      <c r="F34" s="1">
        <v>0.73809999999999998</v>
      </c>
      <c r="H34">
        <v>32</v>
      </c>
      <c r="I34" t="s">
        <v>46</v>
      </c>
      <c r="J34" s="1">
        <v>0.94610000000000005</v>
      </c>
      <c r="K34" s="1">
        <v>0.91390000000000005</v>
      </c>
      <c r="L34" s="1">
        <v>0.9788</v>
      </c>
      <c r="M34" s="1">
        <v>0.80910000000000004</v>
      </c>
      <c r="O34">
        <v>32</v>
      </c>
      <c r="P34" t="s">
        <v>46</v>
      </c>
      <c r="Q34" s="1">
        <v>0.9224</v>
      </c>
      <c r="R34" s="1">
        <v>0.92090000000000005</v>
      </c>
      <c r="S34" s="1">
        <v>0.9617</v>
      </c>
      <c r="T34" s="1">
        <v>0.83030000000000004</v>
      </c>
      <c r="U34" s="1">
        <f t="shared" si="0"/>
        <v>2.1199999999999997E-2</v>
      </c>
    </row>
    <row r="35" spans="1:21" x14ac:dyDescent="0.45">
      <c r="A35">
        <v>32</v>
      </c>
      <c r="B35" t="s">
        <v>46</v>
      </c>
      <c r="C35" s="1">
        <v>0.93379999999999996</v>
      </c>
      <c r="D35" s="1">
        <v>0.91290000000000004</v>
      </c>
      <c r="E35" s="1">
        <v>0.9778</v>
      </c>
      <c r="F35" s="1">
        <v>0.80600000000000005</v>
      </c>
      <c r="H35">
        <v>33</v>
      </c>
      <c r="I35" t="s">
        <v>47</v>
      </c>
      <c r="J35" s="1">
        <v>0.90649999999999997</v>
      </c>
      <c r="K35" s="1">
        <v>0.85829999999999995</v>
      </c>
      <c r="L35" s="1">
        <v>0.92679999999999996</v>
      </c>
      <c r="M35" s="1">
        <v>0.73040000000000005</v>
      </c>
      <c r="O35">
        <v>33</v>
      </c>
      <c r="P35" t="s">
        <v>47</v>
      </c>
      <c r="Q35" s="1">
        <v>0.92520000000000002</v>
      </c>
      <c r="R35" s="1">
        <v>0.81120000000000003</v>
      </c>
      <c r="S35" s="1">
        <v>0.85089999999999999</v>
      </c>
      <c r="T35" s="1">
        <v>0.71460000000000001</v>
      </c>
      <c r="U35" s="1">
        <f t="shared" si="0"/>
        <v>-1.5800000000000036E-2</v>
      </c>
    </row>
  </sheetData>
  <sortState xmlns:xlrd2="http://schemas.microsoft.com/office/spreadsheetml/2017/richdata2" ref="O1:T35">
    <sortCondition ref="T1:T35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7586-55EA-486B-9123-CED301DCF8A7}">
  <dimension ref="A1:B4"/>
  <sheetViews>
    <sheetView zoomScale="220" zoomScaleNormal="220" workbookViewId="0">
      <selection activeCell="F2" sqref="F2"/>
    </sheetView>
  </sheetViews>
  <sheetFormatPr defaultRowHeight="15" x14ac:dyDescent="0.45"/>
  <cols>
    <col min="1" max="1" width="18.35546875" bestFit="1" customWidth="1"/>
    <col min="2" max="2" width="14.5703125" bestFit="1" customWidth="1"/>
  </cols>
  <sheetData>
    <row r="1" spans="1:2" x14ac:dyDescent="0.45">
      <c r="A1" t="s">
        <v>2</v>
      </c>
    </row>
    <row r="2" spans="1:2" x14ac:dyDescent="0.45">
      <c r="A2" t="s">
        <v>3</v>
      </c>
    </row>
    <row r="3" spans="1:2" x14ac:dyDescent="0.45">
      <c r="A3" t="s">
        <v>4</v>
      </c>
      <c r="B3" t="s">
        <v>9</v>
      </c>
    </row>
    <row r="4" spans="1:2" x14ac:dyDescent="0.45">
      <c r="A4" t="s">
        <v>5</v>
      </c>
      <c r="B4" t="s">
        <v>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0BFA0-4C16-441C-ABF1-A1634938C24F}">
  <dimension ref="A1:B1"/>
  <sheetViews>
    <sheetView zoomScale="250" zoomScaleNormal="250" workbookViewId="0">
      <selection activeCell="B2" sqref="B2"/>
    </sheetView>
  </sheetViews>
  <sheetFormatPr defaultRowHeight="15" x14ac:dyDescent="0.45"/>
  <cols>
    <col min="2" max="2" width="13.78515625" bestFit="1" customWidth="1"/>
  </cols>
  <sheetData>
    <row r="1" spans="1:2" x14ac:dyDescent="0.45">
      <c r="A1" t="s">
        <v>100</v>
      </c>
      <c r="B1" t="s">
        <v>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base line result</vt:lpstr>
      <vt:lpstr>submission</vt:lpstr>
      <vt:lpstr>工作表3</vt:lpstr>
      <vt:lpstr>model_cmp</vt:lpstr>
      <vt:lpstr>工作表1</vt:lpstr>
      <vt:lpstr>label_distribution</vt:lpstr>
      <vt:lpstr>step</vt:lpstr>
      <vt:lpstr>all_cate_cmp</vt:lpstr>
      <vt:lpstr>yolov9_run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tempadmin</dc:creator>
  <cp:lastModifiedBy>黃瑞麟</cp:lastModifiedBy>
  <dcterms:created xsi:type="dcterms:W3CDTF">2015-06-05T18:19:34Z</dcterms:created>
  <dcterms:modified xsi:type="dcterms:W3CDTF">2026-09-01T08:00:40Z</dcterms:modified>
</cp:coreProperties>
</file>